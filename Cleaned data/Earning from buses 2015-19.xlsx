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ower bi assgn 3\"/>
    </mc:Choice>
  </mc:AlternateContent>
  <bookViews>
    <workbookView xWindow="0" yWindow="0" windowWidth="20490" windowHeight="7755"/>
  </bookViews>
  <sheets>
    <sheet name="Earning from bus station" sheetId="1" r:id="rId1"/>
    <sheet name="calculation" sheetId="2" r:id="rId2"/>
    <sheet name="pivot table" sheetId="3" r:id="rId3"/>
  </sheets>
  <calcPr calcId="152511"/>
  <pivotCaches>
    <pivotCache cacheId="4" r:id="rId4"/>
    <pivotCache cacheId="9" r:id="rId5"/>
    <pivotCache cacheId="14" r:id="rId6"/>
    <pivotCache cacheId="19" r:id="rId7"/>
    <pivotCache cacheId="26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" l="1"/>
  <c r="C19" i="2"/>
  <c r="C20" i="2"/>
  <c r="C21" i="2"/>
</calcChain>
</file>

<file path=xl/sharedStrings.xml><?xml version="1.0" encoding="utf-8"?>
<sst xmlns="http://schemas.openxmlformats.org/spreadsheetml/2006/main" count="380" uniqueCount="79">
  <si>
    <t>_id</t>
  </si>
  <si>
    <t>City</t>
  </si>
  <si>
    <t>Year</t>
  </si>
  <si>
    <t>Average No. of daily trips</t>
  </si>
  <si>
    <t>Average No. of passengers (day-to-day basis)</t>
  </si>
  <si>
    <t>Average Trip length in km (daily)</t>
  </si>
  <si>
    <t>Average cost per km in rupees (daily)</t>
  </si>
  <si>
    <t>Revenue per km in rupees</t>
  </si>
  <si>
    <t>Agra</t>
  </si>
  <si>
    <t>2015-16</t>
  </si>
  <si>
    <t>2016-17</t>
  </si>
  <si>
    <t>2017-18</t>
  </si>
  <si>
    <t>Aizawl</t>
  </si>
  <si>
    <t>Aurangabad Maharashtra</t>
  </si>
  <si>
    <t>Bareilly</t>
  </si>
  <si>
    <t>Belagavi</t>
  </si>
  <si>
    <t>Bengaluru</t>
  </si>
  <si>
    <t>Bhopal</t>
  </si>
  <si>
    <t>Bhubneshwar</t>
  </si>
  <si>
    <t>2018-19</t>
  </si>
  <si>
    <t xml:space="preserve">Chandigarh </t>
  </si>
  <si>
    <t>Davanagere</t>
  </si>
  <si>
    <t>Dehradun</t>
  </si>
  <si>
    <t>Erode</t>
  </si>
  <si>
    <t>Faridabad</t>
  </si>
  <si>
    <t>Indore</t>
  </si>
  <si>
    <t>Jabalpur</t>
  </si>
  <si>
    <t>Kanpur</t>
  </si>
  <si>
    <t>Kohima</t>
  </si>
  <si>
    <t>Kota</t>
  </si>
  <si>
    <t>Lucknow</t>
  </si>
  <si>
    <t xml:space="preserve">Madurai  </t>
  </si>
  <si>
    <t>Mangaluru</t>
  </si>
  <si>
    <t>Muzaffarpur</t>
  </si>
  <si>
    <t>Nagpur</t>
  </si>
  <si>
    <t>New Town Kolkota</t>
  </si>
  <si>
    <t>Pimpri Chinchwad</t>
  </si>
  <si>
    <t>Prayagraj</t>
  </si>
  <si>
    <t>Pune</t>
  </si>
  <si>
    <t>Raipur</t>
  </si>
  <si>
    <t>Salem</t>
  </si>
  <si>
    <t>Shillong</t>
  </si>
  <si>
    <t>Shivamogga</t>
  </si>
  <si>
    <t>Silvassa</t>
  </si>
  <si>
    <t>Solapur</t>
  </si>
  <si>
    <t>Surat</t>
  </si>
  <si>
    <t>Thanjavur</t>
  </si>
  <si>
    <t xml:space="preserve">Tiruchirappalli </t>
  </si>
  <si>
    <t>Tirunelveli</t>
  </si>
  <si>
    <t>Tirupati</t>
  </si>
  <si>
    <t>Tiruppur</t>
  </si>
  <si>
    <t>Vadodara</t>
  </si>
  <si>
    <t>Varanasi</t>
  </si>
  <si>
    <t>Visakhapatnam</t>
  </si>
  <si>
    <t>Warangal</t>
  </si>
  <si>
    <t>Average of passenger</t>
  </si>
  <si>
    <t xml:space="preserve">Average of trip </t>
  </si>
  <si>
    <t>Average of cost</t>
  </si>
  <si>
    <t>Average of Revenue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</si>
  <si>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</si>
  <si>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</si>
  <si>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</si>
  <si>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</si>
  <si>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</si>
  <si>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</si>
  <si>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</si>
  <si>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</si>
  <si>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</si>
  <si>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</si>
  <si>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</si>
  <si>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</si>
  <si>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</si>
  <si>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</si>
  <si>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Sum of Average No. of passengers (day-to-day basis)</t>
  </si>
  <si>
    <t>Grand Total</t>
  </si>
  <si>
    <t>Sum of Average Trip length in km (daily)</t>
  </si>
  <si>
    <t>Sum of Average cost per km in rupees (daily)</t>
  </si>
  <si>
    <t>Sum of Revenue per km in rupees</t>
  </si>
  <si>
    <t>Count of 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</si>
</sst>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2" borderId="1" xfId="0" applyFill="1" applyBorder="1"/>
    <xf numFmtId="2" fontId="0" fillId="2" borderId="1" xfId="0" applyNumberFormat="1" applyFill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OORNI R" refreshedDate="45991.998490972219" createdVersion="5" refreshedVersion="5" minRefreshableVersion="3" recordCount="125">
  <cacheSource type="worksheet">
    <worksheetSource name="busestable"/>
  </cacheSource>
  <cacheFields count="8">
    <cacheField name="_id" numFmtId="0">
      <sharedItems containsSemiMixedTypes="0" containsString="0" containsNumber="1" containsInteger="1" minValue="1" maxValue="125"/>
    </cacheField>
    <cacheField name="City" numFmtId="0">
      <sharedItems/>
    </cacheField>
    <cacheField name="Year" numFmtId="0">
      <sharedItems count="4">
        <s v="2015-16"/>
        <s v="2016-17"/>
        <s v="2017-18"/>
        <s v="2018-19"/>
      </sharedItems>
    </cacheField>
    <cacheField name="Average No. of daily trips" numFmtId="0">
      <sharedItems containsSemiMixedTypes="0" containsString="0" containsNumber="1" containsInteger="1" minValue="245" maxValue="258"/>
    </cacheField>
    <cacheField name="Average No. of passengers (day-to-day basis)" numFmtId="2">
      <sharedItems containsSemiMixedTypes="0" containsString="0" containsNumber="1" minValue="0" maxValue="1124328"/>
    </cacheField>
    <cacheField name="Average Trip length in km (daily)" numFmtId="2">
      <sharedItems containsSemiMixedTypes="0" containsString="0" containsNumber="1" minValue="3.53" maxValue="37400"/>
    </cacheField>
    <cacheField name="Average cost per km in rupees (daily)" numFmtId="2">
      <sharedItems containsSemiMixedTypes="0" containsString="0" containsNumber="1" minValue="0.43" maxValue="305810"/>
    </cacheField>
    <cacheField name="Revenue per km in rupees" numFmtId="2">
      <sharedItems containsSemiMixedTypes="0" containsString="0" containsNumber="1" minValue="5" maxValue="45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OORNI R" refreshedDate="45991.998904513886" createdVersion="5" refreshedVersion="5" minRefreshableVersion="3" recordCount="125">
  <cacheSource type="worksheet">
    <worksheetSource name="busestable"/>
  </cacheSource>
  <cacheFields count="8">
    <cacheField name="_id" numFmtId="0">
      <sharedItems containsSemiMixedTypes="0" containsString="0" containsNumber="1" containsInteger="1" minValue="1" maxValue="125"/>
    </cacheField>
    <cacheField name="City" numFmtId="0">
      <sharedItems/>
    </cacheField>
    <cacheField name="Year" numFmtId="0">
      <sharedItems count="4">
        <s v="2015-16"/>
        <s v="2016-17"/>
        <s v="2017-18"/>
        <s v="2018-19"/>
      </sharedItems>
    </cacheField>
    <cacheField name="Average No. of daily trips" numFmtId="0">
      <sharedItems containsSemiMixedTypes="0" containsString="0" containsNumber="1" containsInteger="1" minValue="245" maxValue="258"/>
    </cacheField>
    <cacheField name="Average No. of passengers (day-to-day basis)" numFmtId="2">
      <sharedItems containsSemiMixedTypes="0" containsString="0" containsNumber="1" minValue="0" maxValue="1124328"/>
    </cacheField>
    <cacheField name="Average Trip length in km (daily)" numFmtId="2">
      <sharedItems containsSemiMixedTypes="0" containsString="0" containsNumber="1" minValue="3.53" maxValue="37400"/>
    </cacheField>
    <cacheField name="Average cost per km in rupees (daily)" numFmtId="2">
      <sharedItems containsSemiMixedTypes="0" containsString="0" containsNumber="1" minValue="0.43" maxValue="305810"/>
    </cacheField>
    <cacheField name="Revenue per km in rupees" numFmtId="2">
      <sharedItems containsSemiMixedTypes="0" containsString="0" containsNumber="1" minValue="5" maxValue="45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OORNI R" refreshedDate="45991.999186805559" createdVersion="5" refreshedVersion="5" minRefreshableVersion="3" recordCount="125">
  <cacheSource type="worksheet">
    <worksheetSource name="busestable"/>
  </cacheSource>
  <cacheFields count="8">
    <cacheField name="_id" numFmtId="0">
      <sharedItems containsSemiMixedTypes="0" containsString="0" containsNumber="1" containsInteger="1" minValue="1" maxValue="125"/>
    </cacheField>
    <cacheField name="City" numFmtId="0">
      <sharedItems/>
    </cacheField>
    <cacheField name="Year" numFmtId="0">
      <sharedItems count="4">
        <s v="2015-16"/>
        <s v="2016-17"/>
        <s v="2017-18"/>
        <s v="2018-19"/>
      </sharedItems>
    </cacheField>
    <cacheField name="Average No. of daily trips" numFmtId="0">
      <sharedItems containsSemiMixedTypes="0" containsString="0" containsNumber="1" containsInteger="1" minValue="245" maxValue="258"/>
    </cacheField>
    <cacheField name="Average No. of passengers (day-to-day basis)" numFmtId="2">
      <sharedItems containsSemiMixedTypes="0" containsString="0" containsNumber="1" minValue="0" maxValue="1124328"/>
    </cacheField>
    <cacheField name="Average Trip length in km (daily)" numFmtId="2">
      <sharedItems containsSemiMixedTypes="0" containsString="0" containsNumber="1" minValue="3.53" maxValue="37400"/>
    </cacheField>
    <cacheField name="Average cost per km in rupees (daily)" numFmtId="2">
      <sharedItems containsSemiMixedTypes="0" containsString="0" containsNumber="1" minValue="0.43" maxValue="305810"/>
    </cacheField>
    <cacheField name="Revenue per km in rupees" numFmtId="2">
      <sharedItems containsSemiMixedTypes="0" containsString="0" containsNumber="1" minValue="5" maxValue="45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POORNI R" refreshedDate="45991.999625115743" createdVersion="5" refreshedVersion="5" minRefreshableVersion="3" recordCount="125">
  <cacheSource type="worksheet">
    <worksheetSource name="busestable"/>
  </cacheSource>
  <cacheFields count="8">
    <cacheField name="_id" numFmtId="0">
      <sharedItems containsSemiMixedTypes="0" containsString="0" containsNumber="1" containsInteger="1" minValue="1" maxValue="125"/>
    </cacheField>
    <cacheField name="City" numFmtId="0">
      <sharedItems count="43">
        <s v="Agra"/>
        <s v="Aizawl"/>
        <s v="Aurangabad Maharashtra"/>
        <s v="Bareilly"/>
        <s v="Belagavi"/>
        <s v="Bengaluru"/>
        <s v="Bhopal"/>
        <s v="Bhubneshwar"/>
        <s v="Chandigarh "/>
        <s v="Davanagere"/>
        <s v="Dehradun"/>
        <s v="Erode"/>
        <s v="Faridabad"/>
        <s v="Indore"/>
        <s v="Jabalpur"/>
        <s v="Kanpur"/>
        <s v="Kohima"/>
        <s v="Kota"/>
        <s v="Lucknow"/>
        <s v="Madurai  "/>
        <s v="Mangaluru"/>
        <s v="Muzaffarpur"/>
        <s v="Nagpur"/>
        <s v="New Town Kolkota"/>
        <s v="Pimpri Chinchwad"/>
        <s v="Prayagraj"/>
        <s v="Pune"/>
        <s v="Raipur"/>
        <s v="Salem"/>
        <s v="Shillong"/>
        <s v="Shivamogga"/>
        <s v="Silvassa"/>
        <s v="Solapur"/>
        <s v="Surat"/>
        <s v="Thanjavur"/>
        <s v="Tiruchirappalli "/>
        <s v="Tirunelveli"/>
        <s v="Tirupati"/>
        <s v="Tiruppur"/>
        <s v="Vadodara"/>
        <s v="Varanasi"/>
        <s v="Visakhapatnam"/>
        <s v="Warangal"/>
      </sharedItems>
    </cacheField>
    <cacheField name="Year" numFmtId="0">
      <sharedItems/>
    </cacheField>
    <cacheField name="Average No. of daily trips" numFmtId="0">
      <sharedItems containsSemiMixedTypes="0" containsString="0" containsNumber="1" containsInteger="1" minValue="245" maxValue="258"/>
    </cacheField>
    <cacheField name="Average No. of passengers (day-to-day basis)" numFmtId="2">
      <sharedItems containsSemiMixedTypes="0" containsString="0" containsNumber="1" minValue="0" maxValue="1124328"/>
    </cacheField>
    <cacheField name="Average Trip length in km (daily)" numFmtId="2">
      <sharedItems containsSemiMixedTypes="0" containsString="0" containsNumber="1" minValue="3.53" maxValue="37400"/>
    </cacheField>
    <cacheField name="Average cost per km in rupees (daily)" numFmtId="2">
      <sharedItems containsSemiMixedTypes="0" containsString="0" containsNumber="1" minValue="0.43" maxValue="305810"/>
    </cacheField>
    <cacheField name="Revenue per km in rupees" numFmtId="2">
      <sharedItems containsSemiMixedTypes="0" containsString="0" containsNumber="1" minValue="5" maxValue="45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POORNI R" refreshedDate="45992.002671064816" createdVersion="5" refreshedVersion="5" minRefreshableVersion="3" recordCount="125">
  <cacheSource type="worksheet">
    <worksheetSource name="busestable"/>
  </cacheSource>
  <cacheFields count="8">
    <cacheField name="_id" numFmtId="0">
      <sharedItems containsSemiMixedTypes="0" containsString="0" containsNumber="1" containsInteger="1" minValue="1" maxValue="125"/>
    </cacheField>
    <cacheField name="City" numFmtId="0">
      <sharedItems count="43">
        <s v="Agra"/>
        <s v="Aizawl"/>
        <s v="Aurangabad Maharashtra"/>
        <s v="Bareilly"/>
        <s v="Belagavi"/>
        <s v="Bengaluru"/>
        <s v="Bhopal"/>
        <s v="Bhubneshwar"/>
        <s v="Chandigarh "/>
        <s v="Davanagere"/>
        <s v="Dehradun"/>
        <s v="Erode"/>
        <s v="Faridabad"/>
        <s v="Indore"/>
        <s v="Jabalpur"/>
        <s v="Kanpur"/>
        <s v="Kohima"/>
        <s v="Kota"/>
        <s v="Lucknow"/>
        <s v="Madurai  "/>
        <s v="Mangaluru"/>
        <s v="Muzaffarpur"/>
        <s v="Nagpur"/>
        <s v="New Town Kolkota"/>
        <s v="Pimpri Chinchwad"/>
        <s v="Prayagraj"/>
        <s v="Pune"/>
        <s v="Raipur"/>
        <s v="Salem"/>
        <s v="Shillong"/>
        <s v="Shivamogga"/>
        <s v="Silvassa"/>
        <s v="Solapur"/>
        <s v="Surat"/>
        <s v="Thanjavur"/>
        <s v="Tiruchirappalli "/>
        <s v="Tirunelveli"/>
        <s v="Tirupati"/>
        <s v="Tiruppur"/>
        <s v="Vadodara"/>
        <s v="Varanasi"/>
        <s v="Visakhapatnam"/>
        <s v="Warangal"/>
      </sharedItems>
    </cacheField>
    <cacheField name="Year" numFmtId="0">
      <sharedItems/>
    </cacheField>
    <cacheField name="Average No. of daily trips" numFmtId="0">
      <sharedItems containsSemiMixedTypes="0" containsString="0" containsNumber="1" containsInteger="1" minValue="245" maxValue="258"/>
    </cacheField>
    <cacheField name="Average No. of passengers (day-to-day basis)" numFmtId="2">
      <sharedItems containsSemiMixedTypes="0" containsString="0" containsNumber="1" minValue="0" maxValue="1124328"/>
    </cacheField>
    <cacheField name="Average Trip length in km (daily)" numFmtId="2">
      <sharedItems containsSemiMixedTypes="0" containsString="0" containsNumber="1" minValue="3.53" maxValue="37400"/>
    </cacheField>
    <cacheField name="Average cost per km in rupees (daily)" numFmtId="2">
      <sharedItems containsSemiMixedTypes="0" containsString="0" containsNumber="1" minValue="0.43" maxValue="305810"/>
    </cacheField>
    <cacheField name="Revenue per km in rupees" numFmtId="2">
      <sharedItems containsSemiMixedTypes="0" containsString="0" containsNumber="1" minValue="5" maxValue="45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5">
  <r>
    <n v="1"/>
    <s v="Agra"/>
    <x v="0"/>
    <n v="245"/>
    <n v="20222"/>
    <n v="16546"/>
    <n v="301632"/>
    <n v="18.23"/>
  </r>
  <r>
    <n v="2"/>
    <s v="Agra"/>
    <x v="1"/>
    <n v="258"/>
    <n v="16392"/>
    <n v="15030"/>
    <n v="273793"/>
    <n v="18.22"/>
  </r>
  <r>
    <n v="3"/>
    <s v="Agra"/>
    <x v="2"/>
    <n v="258"/>
    <n v="16742"/>
    <n v="16408"/>
    <n v="305810"/>
    <n v="18.399999999999999"/>
  </r>
  <r>
    <n v="4"/>
    <s v="Aizawl"/>
    <x v="0"/>
    <n v="258"/>
    <n v="200"/>
    <n v="45"/>
    <n v="5"/>
    <n v="5"/>
  </r>
  <r>
    <n v="5"/>
    <s v="Aizawl"/>
    <x v="1"/>
    <n v="258"/>
    <n v="200"/>
    <n v="45"/>
    <n v="5"/>
    <n v="5"/>
  </r>
  <r>
    <n v="6"/>
    <s v="Aizawl"/>
    <x v="2"/>
    <n v="258"/>
    <n v="200"/>
    <n v="45"/>
    <n v="5"/>
    <n v="5"/>
  </r>
  <r>
    <n v="7"/>
    <s v="Aurangabad Maharashtra"/>
    <x v="0"/>
    <n v="258"/>
    <n v="17551"/>
    <n v="11.41"/>
    <n v="32.79"/>
    <n v="28.18"/>
  </r>
  <r>
    <n v="8"/>
    <s v="Aurangabad Maharashtra"/>
    <x v="1"/>
    <n v="258"/>
    <n v="15975"/>
    <n v="9.7799999999999994"/>
    <n v="36.840000000000003"/>
    <n v="25.6"/>
  </r>
  <r>
    <n v="9"/>
    <s v="Aurangabad Maharashtra"/>
    <x v="2"/>
    <n v="258"/>
    <n v="14186"/>
    <n v="8.9"/>
    <n v="37.17"/>
    <n v="27.57"/>
  </r>
  <r>
    <n v="10"/>
    <s v="Bareilly"/>
    <x v="0"/>
    <n v="258"/>
    <n v="975000"/>
    <n v="195.22"/>
    <n v="5"/>
    <n v="4994"/>
  </r>
  <r>
    <n v="11"/>
    <s v="Bareilly"/>
    <x v="1"/>
    <n v="258"/>
    <n v="975000"/>
    <n v="195.22"/>
    <n v="5"/>
    <n v="4994"/>
  </r>
  <r>
    <n v="12"/>
    <s v="Bareilly"/>
    <x v="2"/>
    <n v="258"/>
    <n v="975000"/>
    <n v="195.22"/>
    <n v="5"/>
    <n v="4994"/>
  </r>
  <r>
    <n v="13"/>
    <s v="Belagavi"/>
    <x v="1"/>
    <n v="258"/>
    <n v="90000"/>
    <n v="9"/>
    <n v="0.44"/>
    <n v="27659"/>
  </r>
  <r>
    <n v="14"/>
    <s v="Belagavi"/>
    <x v="2"/>
    <n v="258"/>
    <n v="93000"/>
    <n v="11"/>
    <n v="0.43"/>
    <n v="2755"/>
  </r>
  <r>
    <n v="15"/>
    <s v="Bengaluru"/>
    <x v="0"/>
    <n v="258"/>
    <n v="50.74"/>
    <n v="18.440000000000001"/>
    <n v="4907.9320870000001"/>
    <n v="4291.0591480000003"/>
  </r>
  <r>
    <n v="16"/>
    <s v="Bengaluru"/>
    <x v="1"/>
    <n v="258"/>
    <n v="45.34"/>
    <n v="18.57"/>
    <n v="5628.7791310000002"/>
    <n v="4210.19571"/>
  </r>
  <r>
    <n v="17"/>
    <s v="Bengaluru"/>
    <x v="2"/>
    <n v="258"/>
    <n v="44.37"/>
    <n v="19.100000000000001"/>
    <n v="5870.0741740000003"/>
    <n v="4237.4673730000004"/>
  </r>
  <r>
    <n v="18"/>
    <s v="Bhopal"/>
    <x v="0"/>
    <n v="258"/>
    <n v="67842"/>
    <n v="23"/>
    <n v="8730.16"/>
    <n v="25.94"/>
  </r>
  <r>
    <n v="19"/>
    <s v="Bhopal"/>
    <x v="1"/>
    <n v="258"/>
    <n v="58107"/>
    <n v="23.5"/>
    <n v="8730.16"/>
    <n v="33.64"/>
  </r>
  <r>
    <n v="20"/>
    <s v="Bhopal"/>
    <x v="2"/>
    <n v="258"/>
    <n v="145447"/>
    <n v="27"/>
    <n v="8730.16"/>
    <n v="26.82"/>
  </r>
  <r>
    <n v="21"/>
    <s v="Bhubneshwar"/>
    <x v="3"/>
    <n v="258"/>
    <n v="68000"/>
    <n v="36000"/>
    <n v="8730.16"/>
    <n v="25"/>
  </r>
  <r>
    <n v="22"/>
    <s v="Chandigarh "/>
    <x v="0"/>
    <n v="258"/>
    <n v="1.41"/>
    <n v="171.64"/>
    <n v="57.47"/>
    <n v="37.549999999999997"/>
  </r>
  <r>
    <n v="23"/>
    <s v="Chandigarh "/>
    <x v="1"/>
    <n v="258"/>
    <n v="1.22"/>
    <n v="186.67"/>
    <n v="55.73"/>
    <n v="35.22"/>
  </r>
  <r>
    <n v="24"/>
    <s v="Chandigarh "/>
    <x v="2"/>
    <n v="258"/>
    <n v="1.36"/>
    <n v="186.54"/>
    <n v="57.35"/>
    <n v="34.53"/>
  </r>
  <r>
    <n v="25"/>
    <s v="Davanagere"/>
    <x v="0"/>
    <n v="258"/>
    <n v="6738"/>
    <n v="16"/>
    <n v="33.89"/>
    <n v="22.71"/>
  </r>
  <r>
    <n v="26"/>
    <s v="Davanagere"/>
    <x v="1"/>
    <n v="258"/>
    <n v="15244"/>
    <n v="16"/>
    <n v="33.33"/>
    <n v="24.08"/>
  </r>
  <r>
    <n v="27"/>
    <s v="Davanagere"/>
    <x v="2"/>
    <n v="258"/>
    <n v="43673"/>
    <n v="16"/>
    <n v="32.380000000000003"/>
    <n v="25.74"/>
  </r>
  <r>
    <n v="28"/>
    <s v="Dehradun"/>
    <x v="0"/>
    <n v="258"/>
    <n v="150769.95000000001"/>
    <n v="29005"/>
    <n v="8730.16"/>
    <n v="1711.2588020000001"/>
  </r>
  <r>
    <n v="29"/>
    <s v="Dehradun"/>
    <x v="1"/>
    <n v="258"/>
    <n v="150769.95000000001"/>
    <n v="29005"/>
    <n v="8730.16"/>
    <n v="1711.2588020000001"/>
  </r>
  <r>
    <n v="30"/>
    <s v="Dehradun"/>
    <x v="2"/>
    <n v="258"/>
    <n v="150769.95000000001"/>
    <n v="27855"/>
    <n v="8730.16"/>
    <n v="1711.2588020000001"/>
  </r>
  <r>
    <n v="31"/>
    <s v="Erode"/>
    <x v="0"/>
    <n v="258"/>
    <n v="90432"/>
    <n v="35"/>
    <n v="39"/>
    <n v="29.02"/>
  </r>
  <r>
    <n v="32"/>
    <s v="Erode"/>
    <x v="1"/>
    <n v="258"/>
    <n v="88324"/>
    <n v="35"/>
    <n v="42"/>
    <n v="28.54"/>
  </r>
  <r>
    <n v="33"/>
    <s v="Erode"/>
    <x v="2"/>
    <n v="258"/>
    <n v="64998"/>
    <n v="35"/>
    <n v="45"/>
    <n v="27.79"/>
  </r>
  <r>
    <n v="34"/>
    <s v="Faridabad"/>
    <x v="0"/>
    <n v="258"/>
    <n v="7680"/>
    <n v="12000"/>
    <n v="17"/>
    <n v="30"/>
  </r>
  <r>
    <n v="35"/>
    <s v="Faridabad"/>
    <x v="1"/>
    <n v="258"/>
    <n v="6960"/>
    <n v="12500"/>
    <n v="17"/>
    <n v="29"/>
  </r>
  <r>
    <n v="36"/>
    <s v="Faridabad"/>
    <x v="2"/>
    <n v="258"/>
    <n v="9840"/>
    <n v="10500"/>
    <n v="17"/>
    <n v="30"/>
  </r>
  <r>
    <n v="37"/>
    <s v="Indore"/>
    <x v="0"/>
    <n v="258"/>
    <n v="70134"/>
    <n v="20000"/>
    <n v="17.53"/>
    <n v="25.52"/>
  </r>
  <r>
    <n v="38"/>
    <s v="Indore"/>
    <x v="1"/>
    <n v="258"/>
    <n v="88354"/>
    <n v="37400"/>
    <n v="20.54"/>
    <n v="29.95"/>
  </r>
  <r>
    <n v="39"/>
    <s v="Indore"/>
    <x v="2"/>
    <n v="258"/>
    <n v="155428"/>
    <n v="37400"/>
    <n v="26.94"/>
    <n v="37.68"/>
  </r>
  <r>
    <n v="40"/>
    <s v="Jabalpur"/>
    <x v="0"/>
    <n v="258"/>
    <n v="35000"/>
    <n v="18.5"/>
    <n v="36"/>
    <n v="36.799999999999997"/>
  </r>
  <r>
    <n v="41"/>
    <s v="Jabalpur"/>
    <x v="1"/>
    <n v="258"/>
    <n v="38000"/>
    <n v="18.5"/>
    <n v="38"/>
    <n v="37.5"/>
  </r>
  <r>
    <n v="42"/>
    <s v="Jabalpur"/>
    <x v="2"/>
    <n v="258"/>
    <n v="40000"/>
    <n v="18"/>
    <n v="41"/>
    <n v="39"/>
  </r>
  <r>
    <n v="43"/>
    <s v="Kanpur"/>
    <x v="0"/>
    <n v="258"/>
    <n v="11366"/>
    <n v="11649"/>
    <n v="36.049999999999997"/>
    <n v="18.62"/>
  </r>
  <r>
    <n v="44"/>
    <s v="Kanpur"/>
    <x v="1"/>
    <n v="258"/>
    <n v="23316"/>
    <n v="18927"/>
    <n v="37"/>
    <n v="18.98"/>
  </r>
  <r>
    <n v="45"/>
    <s v="Kanpur"/>
    <x v="2"/>
    <n v="258"/>
    <n v="19216"/>
    <n v="20238"/>
    <n v="39.659999999999997"/>
    <n v="20.92"/>
  </r>
  <r>
    <n v="46"/>
    <s v="Kohima"/>
    <x v="0"/>
    <n v="258"/>
    <n v="180"/>
    <n v="64"/>
    <n v="9"/>
    <n v="90"/>
  </r>
  <r>
    <n v="47"/>
    <s v="Kohima"/>
    <x v="1"/>
    <n v="258"/>
    <n v="180"/>
    <n v="64"/>
    <n v="5"/>
    <n v="80"/>
  </r>
  <r>
    <n v="48"/>
    <s v="Kohima"/>
    <x v="2"/>
    <n v="258"/>
    <n v="160"/>
    <n v="64"/>
    <n v="5"/>
    <n v="70"/>
  </r>
  <r>
    <n v="49"/>
    <s v="Kota"/>
    <x v="1"/>
    <n v="258"/>
    <n v="5000"/>
    <n v="186"/>
    <n v="49"/>
    <n v="7.54"/>
  </r>
  <r>
    <n v="50"/>
    <s v="Kota"/>
    <x v="2"/>
    <n v="258"/>
    <n v="6000"/>
    <n v="186"/>
    <n v="49"/>
    <n v="7.54"/>
  </r>
  <r>
    <n v="51"/>
    <s v="Lucknow"/>
    <x v="0"/>
    <n v="258"/>
    <n v="270"/>
    <n v="29"/>
    <n v="25.22"/>
    <n v="20.16"/>
  </r>
  <r>
    <n v="52"/>
    <s v="Lucknow"/>
    <x v="1"/>
    <n v="258"/>
    <n v="216"/>
    <n v="28"/>
    <n v="24.47"/>
    <n v="17.61"/>
  </r>
  <r>
    <n v="53"/>
    <s v="Lucknow"/>
    <x v="2"/>
    <n v="258"/>
    <n v="225"/>
    <n v="30"/>
    <n v="28.2"/>
    <n v="21.62"/>
  </r>
  <r>
    <n v="54"/>
    <s v="Madurai  "/>
    <x v="0"/>
    <n v="258"/>
    <n v="545945"/>
    <n v="60"/>
    <n v="34"/>
    <n v="24"/>
  </r>
  <r>
    <n v="55"/>
    <s v="Madurai  "/>
    <x v="1"/>
    <n v="258"/>
    <n v="524293"/>
    <n v="62"/>
    <n v="36"/>
    <n v="23"/>
  </r>
  <r>
    <n v="56"/>
    <s v="Madurai  "/>
    <x v="2"/>
    <n v="258"/>
    <n v="513562"/>
    <n v="66"/>
    <n v="41"/>
    <n v="27"/>
  </r>
  <r>
    <n v="57"/>
    <s v="Mangaluru"/>
    <x v="0"/>
    <n v="258"/>
    <n v="158944"/>
    <n v="4257.99"/>
    <n v="8730.16"/>
    <n v="1711.2588020000001"/>
  </r>
  <r>
    <n v="58"/>
    <s v="Mangaluru"/>
    <x v="1"/>
    <n v="258"/>
    <n v="0"/>
    <n v="4257.99"/>
    <n v="8730.16"/>
    <n v="1711.2588020000001"/>
  </r>
  <r>
    <n v="59"/>
    <s v="Mangaluru"/>
    <x v="2"/>
    <n v="258"/>
    <n v="256"/>
    <n v="4257.99"/>
    <n v="8730.16"/>
    <n v="1711.2588020000001"/>
  </r>
  <r>
    <n v="60"/>
    <s v="Muzaffarpur"/>
    <x v="0"/>
    <n v="258"/>
    <n v="4201"/>
    <n v="5102"/>
    <n v="15"/>
    <n v="26"/>
  </r>
  <r>
    <n v="61"/>
    <s v="Muzaffarpur"/>
    <x v="1"/>
    <n v="258"/>
    <n v="7840"/>
    <n v="11198"/>
    <n v="15"/>
    <n v="25"/>
  </r>
  <r>
    <n v="62"/>
    <s v="Muzaffarpur"/>
    <x v="2"/>
    <n v="258"/>
    <n v="7851"/>
    <n v="11202"/>
    <n v="15"/>
    <n v="25"/>
  </r>
  <r>
    <n v="63"/>
    <s v="Nagpur"/>
    <x v="0"/>
    <n v="258"/>
    <n v="150769.95000000001"/>
    <n v="4257.99"/>
    <n v="8730.16"/>
    <n v="1711.2588020000001"/>
  </r>
  <r>
    <n v="64"/>
    <s v="Nagpur"/>
    <x v="1"/>
    <n v="258"/>
    <n v="35838"/>
    <n v="16.5"/>
    <n v="63.62"/>
    <n v="28"/>
  </r>
  <r>
    <n v="65"/>
    <s v="Nagpur"/>
    <x v="2"/>
    <n v="258"/>
    <n v="157766"/>
    <n v="14.98"/>
    <n v="59.93"/>
    <n v="24"/>
  </r>
  <r>
    <n v="66"/>
    <s v="New Town Kolkota"/>
    <x v="0"/>
    <n v="258"/>
    <n v="90407"/>
    <n v="7.67"/>
    <n v="28.36"/>
    <n v="33.9"/>
  </r>
  <r>
    <n v="67"/>
    <s v="New Town Kolkota"/>
    <x v="1"/>
    <n v="258"/>
    <n v="139211"/>
    <n v="7.67"/>
    <n v="29.15"/>
    <n v="35.6"/>
  </r>
  <r>
    <n v="68"/>
    <s v="New Town Kolkota"/>
    <x v="2"/>
    <n v="258"/>
    <n v="152093"/>
    <n v="7.67"/>
    <n v="31.94"/>
    <n v="36.909999999999997"/>
  </r>
  <r>
    <n v="69"/>
    <s v="Pimpri Chinchwad"/>
    <x v="0"/>
    <n v="258"/>
    <n v="1124328"/>
    <n v="18"/>
    <n v="81.010000000000005"/>
    <n v="67.77"/>
  </r>
  <r>
    <n v="70"/>
    <s v="Pimpri Chinchwad"/>
    <x v="1"/>
    <n v="258"/>
    <n v="1079223"/>
    <n v="18"/>
    <n v="85.19"/>
    <n v="65.94"/>
  </r>
  <r>
    <n v="71"/>
    <s v="Pimpri Chinchwad"/>
    <x v="2"/>
    <n v="258"/>
    <n v="1089208"/>
    <n v="22"/>
    <n v="76.98"/>
    <n v="58.73"/>
  </r>
  <r>
    <n v="72"/>
    <s v="Prayagraj"/>
    <x v="0"/>
    <n v="258"/>
    <n v="20600"/>
    <n v="4257.99"/>
    <n v="25.35"/>
    <n v="18.79"/>
  </r>
  <r>
    <n v="73"/>
    <s v="Prayagraj"/>
    <x v="1"/>
    <n v="258"/>
    <n v="18200"/>
    <n v="4257.99"/>
    <n v="25.36"/>
    <n v="17.96"/>
  </r>
  <r>
    <n v="74"/>
    <s v="Prayagraj"/>
    <x v="2"/>
    <n v="258"/>
    <n v="17600"/>
    <n v="4257.99"/>
    <n v="26.3"/>
    <n v="18.309999999999999"/>
  </r>
  <r>
    <n v="75"/>
    <s v="Pune"/>
    <x v="0"/>
    <n v="258"/>
    <n v="1124328"/>
    <n v="18"/>
    <n v="81.010000000000005"/>
    <n v="67.77"/>
  </r>
  <r>
    <n v="76"/>
    <s v="Pune"/>
    <x v="1"/>
    <n v="258"/>
    <n v="1079223"/>
    <n v="18"/>
    <n v="85.19"/>
    <n v="65.94"/>
  </r>
  <r>
    <n v="77"/>
    <s v="Pune"/>
    <x v="2"/>
    <n v="258"/>
    <n v="1089208"/>
    <n v="22"/>
    <n v="76.98"/>
    <n v="58.73"/>
  </r>
  <r>
    <n v="78"/>
    <s v="Raipur"/>
    <x v="0"/>
    <n v="258"/>
    <n v="18840"/>
    <n v="11304"/>
    <n v="22608"/>
    <n v="45216"/>
  </r>
  <r>
    <n v="79"/>
    <s v="Raipur"/>
    <x v="1"/>
    <n v="258"/>
    <n v="18840"/>
    <n v="11304"/>
    <n v="22608"/>
    <n v="45216"/>
  </r>
  <r>
    <n v="80"/>
    <s v="Raipur"/>
    <x v="2"/>
    <n v="258"/>
    <n v="18840"/>
    <n v="11304"/>
    <n v="22608"/>
    <n v="45216"/>
  </r>
  <r>
    <n v="81"/>
    <s v="Salem"/>
    <x v="0"/>
    <n v="258"/>
    <n v="319838"/>
    <n v="21"/>
    <n v="34.529000000000003"/>
    <n v="18.28"/>
  </r>
  <r>
    <n v="82"/>
    <s v="Salem"/>
    <x v="1"/>
    <n v="258"/>
    <n v="324463"/>
    <n v="21"/>
    <n v="38.456000000000003"/>
    <n v="18.27"/>
  </r>
  <r>
    <n v="83"/>
    <s v="Salem"/>
    <x v="2"/>
    <n v="258"/>
    <n v="325992"/>
    <n v="21"/>
    <n v="45.095999999999997"/>
    <n v="20.49"/>
  </r>
  <r>
    <n v="84"/>
    <s v="Shillong"/>
    <x v="0"/>
    <n v="258"/>
    <n v="40"/>
    <n v="30"/>
    <n v="83"/>
    <n v="40"/>
  </r>
  <r>
    <n v="85"/>
    <s v="Shillong"/>
    <x v="1"/>
    <n v="258"/>
    <n v="35"/>
    <n v="25"/>
    <n v="75"/>
    <n v="35"/>
  </r>
  <r>
    <n v="86"/>
    <s v="Shillong"/>
    <x v="2"/>
    <n v="258"/>
    <n v="30"/>
    <n v="20"/>
    <n v="75"/>
    <n v="35"/>
  </r>
  <r>
    <n v="87"/>
    <s v="Shivamogga"/>
    <x v="0"/>
    <n v="258"/>
    <n v="150769.95000000001"/>
    <n v="4257.99"/>
    <n v="8730.16"/>
    <n v="1711.2588020000001"/>
  </r>
  <r>
    <n v="88"/>
    <s v="Shivamogga"/>
    <x v="1"/>
    <n v="258"/>
    <n v="6200"/>
    <n v="190"/>
    <n v="31.2"/>
    <n v="18"/>
  </r>
  <r>
    <n v="89"/>
    <s v="Shivamogga"/>
    <x v="2"/>
    <n v="258"/>
    <n v="8800"/>
    <n v="210"/>
    <n v="32.85"/>
    <n v="22"/>
  </r>
  <r>
    <n v="90"/>
    <s v="Silvassa"/>
    <x v="0"/>
    <n v="258"/>
    <n v="1705"/>
    <n v="1012"/>
    <n v="32"/>
    <n v="10"/>
  </r>
  <r>
    <n v="91"/>
    <s v="Silvassa"/>
    <x v="1"/>
    <n v="258"/>
    <n v="1631"/>
    <n v="1044"/>
    <n v="36"/>
    <n v="12"/>
  </r>
  <r>
    <n v="92"/>
    <s v="Silvassa"/>
    <x v="2"/>
    <n v="258"/>
    <n v="1525"/>
    <n v="1002"/>
    <n v="42"/>
    <n v="10"/>
  </r>
  <r>
    <n v="93"/>
    <s v="Solapur"/>
    <x v="0"/>
    <n v="258"/>
    <n v="72180"/>
    <n v="300"/>
    <n v="55"/>
    <n v="26"/>
  </r>
  <r>
    <n v="94"/>
    <s v="Solapur"/>
    <x v="1"/>
    <n v="258"/>
    <n v="30363"/>
    <n v="250"/>
    <n v="49"/>
    <n v="28"/>
  </r>
  <r>
    <n v="95"/>
    <s v="Solapur"/>
    <x v="2"/>
    <n v="258"/>
    <n v="22121"/>
    <n v="225"/>
    <n v="48"/>
    <n v="23"/>
  </r>
  <r>
    <n v="96"/>
    <s v="Surat"/>
    <x v="0"/>
    <n v="258"/>
    <n v="8709"/>
    <n v="4.3"/>
    <n v="38.090000000000003"/>
    <n v="8.2899999999999991"/>
  </r>
  <r>
    <n v="97"/>
    <s v="Surat"/>
    <x v="1"/>
    <n v="258"/>
    <n v="82266"/>
    <n v="6"/>
    <n v="35.97"/>
    <n v="14.55"/>
  </r>
  <r>
    <n v="98"/>
    <s v="Surat"/>
    <x v="2"/>
    <n v="258"/>
    <n v="80077"/>
    <n v="5.9"/>
    <n v="36.32"/>
    <n v="12.45"/>
  </r>
  <r>
    <n v="99"/>
    <s v="Thanjavur"/>
    <x v="0"/>
    <n v="258"/>
    <n v="85000"/>
    <n v="30"/>
    <n v="31"/>
    <n v="23"/>
  </r>
  <r>
    <n v="100"/>
    <s v="Thanjavur"/>
    <x v="1"/>
    <n v="258"/>
    <n v="80000"/>
    <n v="30"/>
    <n v="35"/>
    <n v="24"/>
  </r>
  <r>
    <n v="101"/>
    <s v="Thanjavur"/>
    <x v="2"/>
    <n v="258"/>
    <n v="76000"/>
    <n v="32"/>
    <n v="40"/>
    <n v="29"/>
  </r>
  <r>
    <n v="102"/>
    <s v="Tiruchirappalli "/>
    <x v="0"/>
    <n v="258"/>
    <n v="332453"/>
    <n v="22.42"/>
    <n v="30.36"/>
    <n v="27.91"/>
  </r>
  <r>
    <n v="103"/>
    <s v="Tiruchirappalli "/>
    <x v="1"/>
    <n v="258"/>
    <n v="329111"/>
    <n v="23.03"/>
    <n v="33.880000000000003"/>
    <n v="31.55"/>
  </r>
  <r>
    <n v="104"/>
    <s v="Tiruchirappalli "/>
    <x v="2"/>
    <n v="258"/>
    <n v="263254"/>
    <n v="28.81"/>
    <n v="38.43"/>
    <n v="34.450000000000003"/>
  </r>
  <r>
    <n v="105"/>
    <s v="Tirunelveli"/>
    <x v="0"/>
    <n v="258"/>
    <n v="96000"/>
    <n v="35"/>
    <n v="0.55000000000000004"/>
    <n v="19.05"/>
  </r>
  <r>
    <n v="106"/>
    <s v="Tirunelveli"/>
    <x v="1"/>
    <n v="258"/>
    <n v="96640"/>
    <n v="35"/>
    <n v="0.57999999999999996"/>
    <n v="21.78"/>
  </r>
  <r>
    <n v="107"/>
    <s v="Tirunelveli"/>
    <x v="2"/>
    <n v="258"/>
    <n v="96640"/>
    <n v="35"/>
    <n v="0.57999999999999996"/>
    <n v="27.61"/>
  </r>
  <r>
    <n v="108"/>
    <s v="Tirupati"/>
    <x v="0"/>
    <n v="258"/>
    <n v="36000"/>
    <n v="11.87"/>
    <n v="119.7"/>
    <n v="90"/>
  </r>
  <r>
    <n v="109"/>
    <s v="Tirupati"/>
    <x v="1"/>
    <n v="258"/>
    <n v="150769.95000000001"/>
    <n v="4257.99"/>
    <n v="8730.16"/>
    <n v="1711.2588020000001"/>
  </r>
  <r>
    <n v="110"/>
    <s v="Tirupati"/>
    <x v="2"/>
    <n v="258"/>
    <n v="150769.95000000001"/>
    <n v="4257.99"/>
    <n v="8730.16"/>
    <n v="1711.2588020000001"/>
  </r>
  <r>
    <n v="111"/>
    <s v="Tiruppur"/>
    <x v="0"/>
    <n v="258"/>
    <n v="160000"/>
    <n v="4257.99"/>
    <n v="28.86"/>
    <n v="19.920000000000002"/>
  </r>
  <r>
    <n v="112"/>
    <s v="Tiruppur"/>
    <x v="1"/>
    <n v="258"/>
    <n v="166000"/>
    <n v="4257.99"/>
    <n v="31.13"/>
    <n v="20.51"/>
  </r>
  <r>
    <n v="113"/>
    <s v="Tiruppur"/>
    <x v="2"/>
    <n v="258"/>
    <n v="175000"/>
    <n v="4257.99"/>
    <n v="38.78"/>
    <n v="22.8"/>
  </r>
  <r>
    <n v="114"/>
    <s v="Vadodara"/>
    <x v="0"/>
    <n v="258"/>
    <n v="45000"/>
    <n v="13750"/>
    <n v="18"/>
    <n v="12"/>
  </r>
  <r>
    <n v="115"/>
    <s v="Vadodara"/>
    <x v="1"/>
    <n v="258"/>
    <n v="45000"/>
    <n v="13750"/>
    <n v="19"/>
    <n v="14"/>
  </r>
  <r>
    <n v="116"/>
    <s v="Vadodara"/>
    <x v="2"/>
    <n v="258"/>
    <n v="115000"/>
    <n v="30000"/>
    <n v="28"/>
    <n v="30"/>
  </r>
  <r>
    <n v="117"/>
    <s v="Varanasi"/>
    <x v="0"/>
    <n v="258"/>
    <n v="15068"/>
    <n v="38.200000000000003"/>
    <n v="21.33"/>
    <n v="20.07"/>
  </r>
  <r>
    <n v="118"/>
    <s v="Varanasi"/>
    <x v="1"/>
    <n v="258"/>
    <n v="13205"/>
    <n v="38.380000000000003"/>
    <n v="22.37"/>
    <n v="21.1"/>
  </r>
  <r>
    <n v="119"/>
    <s v="Varanasi"/>
    <x v="2"/>
    <n v="258"/>
    <n v="12792"/>
    <n v="37.119999999999997"/>
    <n v="23.46"/>
    <n v="20.010000000000002"/>
  </r>
  <r>
    <n v="120"/>
    <s v="Visakhapatnam"/>
    <x v="0"/>
    <n v="258"/>
    <n v="269257"/>
    <n v="20"/>
    <n v="39.56"/>
    <n v="34.869999999999997"/>
  </r>
  <r>
    <n v="121"/>
    <s v="Visakhapatnam"/>
    <x v="1"/>
    <n v="258"/>
    <n v="279798"/>
    <n v="20"/>
    <n v="42.87"/>
    <n v="36.590000000000003"/>
  </r>
  <r>
    <n v="122"/>
    <s v="Visakhapatnam"/>
    <x v="2"/>
    <n v="258"/>
    <n v="304848"/>
    <n v="20"/>
    <n v="43.92"/>
    <n v="40.21"/>
  </r>
  <r>
    <n v="123"/>
    <s v="Warangal"/>
    <x v="0"/>
    <n v="258"/>
    <n v="8.2200000000000006"/>
    <n v="3.53"/>
    <n v="33.5"/>
    <n v="31.11"/>
  </r>
  <r>
    <n v="124"/>
    <s v="Warangal"/>
    <x v="1"/>
    <n v="258"/>
    <n v="8.32"/>
    <n v="3.65"/>
    <n v="33.81"/>
    <n v="31.03"/>
  </r>
  <r>
    <n v="125"/>
    <s v="Warangal"/>
    <x v="2"/>
    <n v="258"/>
    <n v="9.5399999999999991"/>
    <n v="3.85"/>
    <n v="34.58"/>
    <n v="33.5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5">
  <r>
    <n v="1"/>
    <s v="Agra"/>
    <x v="0"/>
    <n v="245"/>
    <n v="20222"/>
    <n v="16546"/>
    <n v="301632"/>
    <n v="18.23"/>
  </r>
  <r>
    <n v="2"/>
    <s v="Agra"/>
    <x v="1"/>
    <n v="258"/>
    <n v="16392"/>
    <n v="15030"/>
    <n v="273793"/>
    <n v="18.22"/>
  </r>
  <r>
    <n v="3"/>
    <s v="Agra"/>
    <x v="2"/>
    <n v="258"/>
    <n v="16742"/>
    <n v="16408"/>
    <n v="305810"/>
    <n v="18.399999999999999"/>
  </r>
  <r>
    <n v="4"/>
    <s v="Aizawl"/>
    <x v="0"/>
    <n v="258"/>
    <n v="200"/>
    <n v="45"/>
    <n v="5"/>
    <n v="5"/>
  </r>
  <r>
    <n v="5"/>
    <s v="Aizawl"/>
    <x v="1"/>
    <n v="258"/>
    <n v="200"/>
    <n v="45"/>
    <n v="5"/>
    <n v="5"/>
  </r>
  <r>
    <n v="6"/>
    <s v="Aizawl"/>
    <x v="2"/>
    <n v="258"/>
    <n v="200"/>
    <n v="45"/>
    <n v="5"/>
    <n v="5"/>
  </r>
  <r>
    <n v="7"/>
    <s v="Aurangabad Maharashtra"/>
    <x v="0"/>
    <n v="258"/>
    <n v="17551"/>
    <n v="11.41"/>
    <n v="32.79"/>
    <n v="28.18"/>
  </r>
  <r>
    <n v="8"/>
    <s v="Aurangabad Maharashtra"/>
    <x v="1"/>
    <n v="258"/>
    <n v="15975"/>
    <n v="9.7799999999999994"/>
    <n v="36.840000000000003"/>
    <n v="25.6"/>
  </r>
  <r>
    <n v="9"/>
    <s v="Aurangabad Maharashtra"/>
    <x v="2"/>
    <n v="258"/>
    <n v="14186"/>
    <n v="8.9"/>
    <n v="37.17"/>
    <n v="27.57"/>
  </r>
  <r>
    <n v="10"/>
    <s v="Bareilly"/>
    <x v="0"/>
    <n v="258"/>
    <n v="975000"/>
    <n v="195.22"/>
    <n v="5"/>
    <n v="4994"/>
  </r>
  <r>
    <n v="11"/>
    <s v="Bareilly"/>
    <x v="1"/>
    <n v="258"/>
    <n v="975000"/>
    <n v="195.22"/>
    <n v="5"/>
    <n v="4994"/>
  </r>
  <r>
    <n v="12"/>
    <s v="Bareilly"/>
    <x v="2"/>
    <n v="258"/>
    <n v="975000"/>
    <n v="195.22"/>
    <n v="5"/>
    <n v="4994"/>
  </r>
  <r>
    <n v="13"/>
    <s v="Belagavi"/>
    <x v="1"/>
    <n v="258"/>
    <n v="90000"/>
    <n v="9"/>
    <n v="0.44"/>
    <n v="27659"/>
  </r>
  <r>
    <n v="14"/>
    <s v="Belagavi"/>
    <x v="2"/>
    <n v="258"/>
    <n v="93000"/>
    <n v="11"/>
    <n v="0.43"/>
    <n v="2755"/>
  </r>
  <r>
    <n v="15"/>
    <s v="Bengaluru"/>
    <x v="0"/>
    <n v="258"/>
    <n v="50.74"/>
    <n v="18.440000000000001"/>
    <n v="4907.9320870000001"/>
    <n v="4291.0591480000003"/>
  </r>
  <r>
    <n v="16"/>
    <s v="Bengaluru"/>
    <x v="1"/>
    <n v="258"/>
    <n v="45.34"/>
    <n v="18.57"/>
    <n v="5628.7791310000002"/>
    <n v="4210.19571"/>
  </r>
  <r>
    <n v="17"/>
    <s v="Bengaluru"/>
    <x v="2"/>
    <n v="258"/>
    <n v="44.37"/>
    <n v="19.100000000000001"/>
    <n v="5870.0741740000003"/>
    <n v="4237.4673730000004"/>
  </r>
  <r>
    <n v="18"/>
    <s v="Bhopal"/>
    <x v="0"/>
    <n v="258"/>
    <n v="67842"/>
    <n v="23"/>
    <n v="8730.16"/>
    <n v="25.94"/>
  </r>
  <r>
    <n v="19"/>
    <s v="Bhopal"/>
    <x v="1"/>
    <n v="258"/>
    <n v="58107"/>
    <n v="23.5"/>
    <n v="8730.16"/>
    <n v="33.64"/>
  </r>
  <r>
    <n v="20"/>
    <s v="Bhopal"/>
    <x v="2"/>
    <n v="258"/>
    <n v="145447"/>
    <n v="27"/>
    <n v="8730.16"/>
    <n v="26.82"/>
  </r>
  <r>
    <n v="21"/>
    <s v="Bhubneshwar"/>
    <x v="3"/>
    <n v="258"/>
    <n v="68000"/>
    <n v="36000"/>
    <n v="8730.16"/>
    <n v="25"/>
  </r>
  <r>
    <n v="22"/>
    <s v="Chandigarh "/>
    <x v="0"/>
    <n v="258"/>
    <n v="1.41"/>
    <n v="171.64"/>
    <n v="57.47"/>
    <n v="37.549999999999997"/>
  </r>
  <r>
    <n v="23"/>
    <s v="Chandigarh "/>
    <x v="1"/>
    <n v="258"/>
    <n v="1.22"/>
    <n v="186.67"/>
    <n v="55.73"/>
    <n v="35.22"/>
  </r>
  <r>
    <n v="24"/>
    <s v="Chandigarh "/>
    <x v="2"/>
    <n v="258"/>
    <n v="1.36"/>
    <n v="186.54"/>
    <n v="57.35"/>
    <n v="34.53"/>
  </r>
  <r>
    <n v="25"/>
    <s v="Davanagere"/>
    <x v="0"/>
    <n v="258"/>
    <n v="6738"/>
    <n v="16"/>
    <n v="33.89"/>
    <n v="22.71"/>
  </r>
  <r>
    <n v="26"/>
    <s v="Davanagere"/>
    <x v="1"/>
    <n v="258"/>
    <n v="15244"/>
    <n v="16"/>
    <n v="33.33"/>
    <n v="24.08"/>
  </r>
  <r>
    <n v="27"/>
    <s v="Davanagere"/>
    <x v="2"/>
    <n v="258"/>
    <n v="43673"/>
    <n v="16"/>
    <n v="32.380000000000003"/>
    <n v="25.74"/>
  </r>
  <r>
    <n v="28"/>
    <s v="Dehradun"/>
    <x v="0"/>
    <n v="258"/>
    <n v="150769.95000000001"/>
    <n v="29005"/>
    <n v="8730.16"/>
    <n v="1711.2588020000001"/>
  </r>
  <r>
    <n v="29"/>
    <s v="Dehradun"/>
    <x v="1"/>
    <n v="258"/>
    <n v="150769.95000000001"/>
    <n v="29005"/>
    <n v="8730.16"/>
    <n v="1711.2588020000001"/>
  </r>
  <r>
    <n v="30"/>
    <s v="Dehradun"/>
    <x v="2"/>
    <n v="258"/>
    <n v="150769.95000000001"/>
    <n v="27855"/>
    <n v="8730.16"/>
    <n v="1711.2588020000001"/>
  </r>
  <r>
    <n v="31"/>
    <s v="Erode"/>
    <x v="0"/>
    <n v="258"/>
    <n v="90432"/>
    <n v="35"/>
    <n v="39"/>
    <n v="29.02"/>
  </r>
  <r>
    <n v="32"/>
    <s v="Erode"/>
    <x v="1"/>
    <n v="258"/>
    <n v="88324"/>
    <n v="35"/>
    <n v="42"/>
    <n v="28.54"/>
  </r>
  <r>
    <n v="33"/>
    <s v="Erode"/>
    <x v="2"/>
    <n v="258"/>
    <n v="64998"/>
    <n v="35"/>
    <n v="45"/>
    <n v="27.79"/>
  </r>
  <r>
    <n v="34"/>
    <s v="Faridabad"/>
    <x v="0"/>
    <n v="258"/>
    <n v="7680"/>
    <n v="12000"/>
    <n v="17"/>
    <n v="30"/>
  </r>
  <r>
    <n v="35"/>
    <s v="Faridabad"/>
    <x v="1"/>
    <n v="258"/>
    <n v="6960"/>
    <n v="12500"/>
    <n v="17"/>
    <n v="29"/>
  </r>
  <r>
    <n v="36"/>
    <s v="Faridabad"/>
    <x v="2"/>
    <n v="258"/>
    <n v="9840"/>
    <n v="10500"/>
    <n v="17"/>
    <n v="30"/>
  </r>
  <r>
    <n v="37"/>
    <s v="Indore"/>
    <x v="0"/>
    <n v="258"/>
    <n v="70134"/>
    <n v="20000"/>
    <n v="17.53"/>
    <n v="25.52"/>
  </r>
  <r>
    <n v="38"/>
    <s v="Indore"/>
    <x v="1"/>
    <n v="258"/>
    <n v="88354"/>
    <n v="37400"/>
    <n v="20.54"/>
    <n v="29.95"/>
  </r>
  <r>
    <n v="39"/>
    <s v="Indore"/>
    <x v="2"/>
    <n v="258"/>
    <n v="155428"/>
    <n v="37400"/>
    <n v="26.94"/>
    <n v="37.68"/>
  </r>
  <r>
    <n v="40"/>
    <s v="Jabalpur"/>
    <x v="0"/>
    <n v="258"/>
    <n v="35000"/>
    <n v="18.5"/>
    <n v="36"/>
    <n v="36.799999999999997"/>
  </r>
  <r>
    <n v="41"/>
    <s v="Jabalpur"/>
    <x v="1"/>
    <n v="258"/>
    <n v="38000"/>
    <n v="18.5"/>
    <n v="38"/>
    <n v="37.5"/>
  </r>
  <r>
    <n v="42"/>
    <s v="Jabalpur"/>
    <x v="2"/>
    <n v="258"/>
    <n v="40000"/>
    <n v="18"/>
    <n v="41"/>
    <n v="39"/>
  </r>
  <r>
    <n v="43"/>
    <s v="Kanpur"/>
    <x v="0"/>
    <n v="258"/>
    <n v="11366"/>
    <n v="11649"/>
    <n v="36.049999999999997"/>
    <n v="18.62"/>
  </r>
  <r>
    <n v="44"/>
    <s v="Kanpur"/>
    <x v="1"/>
    <n v="258"/>
    <n v="23316"/>
    <n v="18927"/>
    <n v="37"/>
    <n v="18.98"/>
  </r>
  <r>
    <n v="45"/>
    <s v="Kanpur"/>
    <x v="2"/>
    <n v="258"/>
    <n v="19216"/>
    <n v="20238"/>
    <n v="39.659999999999997"/>
    <n v="20.92"/>
  </r>
  <r>
    <n v="46"/>
    <s v="Kohima"/>
    <x v="0"/>
    <n v="258"/>
    <n v="180"/>
    <n v="64"/>
    <n v="9"/>
    <n v="90"/>
  </r>
  <r>
    <n v="47"/>
    <s v="Kohima"/>
    <x v="1"/>
    <n v="258"/>
    <n v="180"/>
    <n v="64"/>
    <n v="5"/>
    <n v="80"/>
  </r>
  <r>
    <n v="48"/>
    <s v="Kohima"/>
    <x v="2"/>
    <n v="258"/>
    <n v="160"/>
    <n v="64"/>
    <n v="5"/>
    <n v="70"/>
  </r>
  <r>
    <n v="49"/>
    <s v="Kota"/>
    <x v="1"/>
    <n v="258"/>
    <n v="5000"/>
    <n v="186"/>
    <n v="49"/>
    <n v="7.54"/>
  </r>
  <r>
    <n v="50"/>
    <s v="Kota"/>
    <x v="2"/>
    <n v="258"/>
    <n v="6000"/>
    <n v="186"/>
    <n v="49"/>
    <n v="7.54"/>
  </r>
  <r>
    <n v="51"/>
    <s v="Lucknow"/>
    <x v="0"/>
    <n v="258"/>
    <n v="270"/>
    <n v="29"/>
    <n v="25.22"/>
    <n v="20.16"/>
  </r>
  <r>
    <n v="52"/>
    <s v="Lucknow"/>
    <x v="1"/>
    <n v="258"/>
    <n v="216"/>
    <n v="28"/>
    <n v="24.47"/>
    <n v="17.61"/>
  </r>
  <r>
    <n v="53"/>
    <s v="Lucknow"/>
    <x v="2"/>
    <n v="258"/>
    <n v="225"/>
    <n v="30"/>
    <n v="28.2"/>
    <n v="21.62"/>
  </r>
  <r>
    <n v="54"/>
    <s v="Madurai  "/>
    <x v="0"/>
    <n v="258"/>
    <n v="545945"/>
    <n v="60"/>
    <n v="34"/>
    <n v="24"/>
  </r>
  <r>
    <n v="55"/>
    <s v="Madurai  "/>
    <x v="1"/>
    <n v="258"/>
    <n v="524293"/>
    <n v="62"/>
    <n v="36"/>
    <n v="23"/>
  </r>
  <r>
    <n v="56"/>
    <s v="Madurai  "/>
    <x v="2"/>
    <n v="258"/>
    <n v="513562"/>
    <n v="66"/>
    <n v="41"/>
    <n v="27"/>
  </r>
  <r>
    <n v="57"/>
    <s v="Mangaluru"/>
    <x v="0"/>
    <n v="258"/>
    <n v="158944"/>
    <n v="4257.99"/>
    <n v="8730.16"/>
    <n v="1711.2588020000001"/>
  </r>
  <r>
    <n v="58"/>
    <s v="Mangaluru"/>
    <x v="1"/>
    <n v="258"/>
    <n v="0"/>
    <n v="4257.99"/>
    <n v="8730.16"/>
    <n v="1711.2588020000001"/>
  </r>
  <r>
    <n v="59"/>
    <s v="Mangaluru"/>
    <x v="2"/>
    <n v="258"/>
    <n v="256"/>
    <n v="4257.99"/>
    <n v="8730.16"/>
    <n v="1711.2588020000001"/>
  </r>
  <r>
    <n v="60"/>
    <s v="Muzaffarpur"/>
    <x v="0"/>
    <n v="258"/>
    <n v="4201"/>
    <n v="5102"/>
    <n v="15"/>
    <n v="26"/>
  </r>
  <r>
    <n v="61"/>
    <s v="Muzaffarpur"/>
    <x v="1"/>
    <n v="258"/>
    <n v="7840"/>
    <n v="11198"/>
    <n v="15"/>
    <n v="25"/>
  </r>
  <r>
    <n v="62"/>
    <s v="Muzaffarpur"/>
    <x v="2"/>
    <n v="258"/>
    <n v="7851"/>
    <n v="11202"/>
    <n v="15"/>
    <n v="25"/>
  </r>
  <r>
    <n v="63"/>
    <s v="Nagpur"/>
    <x v="0"/>
    <n v="258"/>
    <n v="150769.95000000001"/>
    <n v="4257.99"/>
    <n v="8730.16"/>
    <n v="1711.2588020000001"/>
  </r>
  <r>
    <n v="64"/>
    <s v="Nagpur"/>
    <x v="1"/>
    <n v="258"/>
    <n v="35838"/>
    <n v="16.5"/>
    <n v="63.62"/>
    <n v="28"/>
  </r>
  <r>
    <n v="65"/>
    <s v="Nagpur"/>
    <x v="2"/>
    <n v="258"/>
    <n v="157766"/>
    <n v="14.98"/>
    <n v="59.93"/>
    <n v="24"/>
  </r>
  <r>
    <n v="66"/>
    <s v="New Town Kolkota"/>
    <x v="0"/>
    <n v="258"/>
    <n v="90407"/>
    <n v="7.67"/>
    <n v="28.36"/>
    <n v="33.9"/>
  </r>
  <r>
    <n v="67"/>
    <s v="New Town Kolkota"/>
    <x v="1"/>
    <n v="258"/>
    <n v="139211"/>
    <n v="7.67"/>
    <n v="29.15"/>
    <n v="35.6"/>
  </r>
  <r>
    <n v="68"/>
    <s v="New Town Kolkota"/>
    <x v="2"/>
    <n v="258"/>
    <n v="152093"/>
    <n v="7.67"/>
    <n v="31.94"/>
    <n v="36.909999999999997"/>
  </r>
  <r>
    <n v="69"/>
    <s v="Pimpri Chinchwad"/>
    <x v="0"/>
    <n v="258"/>
    <n v="1124328"/>
    <n v="18"/>
    <n v="81.010000000000005"/>
    <n v="67.77"/>
  </r>
  <r>
    <n v="70"/>
    <s v="Pimpri Chinchwad"/>
    <x v="1"/>
    <n v="258"/>
    <n v="1079223"/>
    <n v="18"/>
    <n v="85.19"/>
    <n v="65.94"/>
  </r>
  <r>
    <n v="71"/>
    <s v="Pimpri Chinchwad"/>
    <x v="2"/>
    <n v="258"/>
    <n v="1089208"/>
    <n v="22"/>
    <n v="76.98"/>
    <n v="58.73"/>
  </r>
  <r>
    <n v="72"/>
    <s v="Prayagraj"/>
    <x v="0"/>
    <n v="258"/>
    <n v="20600"/>
    <n v="4257.99"/>
    <n v="25.35"/>
    <n v="18.79"/>
  </r>
  <r>
    <n v="73"/>
    <s v="Prayagraj"/>
    <x v="1"/>
    <n v="258"/>
    <n v="18200"/>
    <n v="4257.99"/>
    <n v="25.36"/>
    <n v="17.96"/>
  </r>
  <r>
    <n v="74"/>
    <s v="Prayagraj"/>
    <x v="2"/>
    <n v="258"/>
    <n v="17600"/>
    <n v="4257.99"/>
    <n v="26.3"/>
    <n v="18.309999999999999"/>
  </r>
  <r>
    <n v="75"/>
    <s v="Pune"/>
    <x v="0"/>
    <n v="258"/>
    <n v="1124328"/>
    <n v="18"/>
    <n v="81.010000000000005"/>
    <n v="67.77"/>
  </r>
  <r>
    <n v="76"/>
    <s v="Pune"/>
    <x v="1"/>
    <n v="258"/>
    <n v="1079223"/>
    <n v="18"/>
    <n v="85.19"/>
    <n v="65.94"/>
  </r>
  <r>
    <n v="77"/>
    <s v="Pune"/>
    <x v="2"/>
    <n v="258"/>
    <n v="1089208"/>
    <n v="22"/>
    <n v="76.98"/>
    <n v="58.73"/>
  </r>
  <r>
    <n v="78"/>
    <s v="Raipur"/>
    <x v="0"/>
    <n v="258"/>
    <n v="18840"/>
    <n v="11304"/>
    <n v="22608"/>
    <n v="45216"/>
  </r>
  <r>
    <n v="79"/>
    <s v="Raipur"/>
    <x v="1"/>
    <n v="258"/>
    <n v="18840"/>
    <n v="11304"/>
    <n v="22608"/>
    <n v="45216"/>
  </r>
  <r>
    <n v="80"/>
    <s v="Raipur"/>
    <x v="2"/>
    <n v="258"/>
    <n v="18840"/>
    <n v="11304"/>
    <n v="22608"/>
    <n v="45216"/>
  </r>
  <r>
    <n v="81"/>
    <s v="Salem"/>
    <x v="0"/>
    <n v="258"/>
    <n v="319838"/>
    <n v="21"/>
    <n v="34.529000000000003"/>
    <n v="18.28"/>
  </r>
  <r>
    <n v="82"/>
    <s v="Salem"/>
    <x v="1"/>
    <n v="258"/>
    <n v="324463"/>
    <n v="21"/>
    <n v="38.456000000000003"/>
    <n v="18.27"/>
  </r>
  <r>
    <n v="83"/>
    <s v="Salem"/>
    <x v="2"/>
    <n v="258"/>
    <n v="325992"/>
    <n v="21"/>
    <n v="45.095999999999997"/>
    <n v="20.49"/>
  </r>
  <r>
    <n v="84"/>
    <s v="Shillong"/>
    <x v="0"/>
    <n v="258"/>
    <n v="40"/>
    <n v="30"/>
    <n v="83"/>
    <n v="40"/>
  </r>
  <r>
    <n v="85"/>
    <s v="Shillong"/>
    <x v="1"/>
    <n v="258"/>
    <n v="35"/>
    <n v="25"/>
    <n v="75"/>
    <n v="35"/>
  </r>
  <r>
    <n v="86"/>
    <s v="Shillong"/>
    <x v="2"/>
    <n v="258"/>
    <n v="30"/>
    <n v="20"/>
    <n v="75"/>
    <n v="35"/>
  </r>
  <r>
    <n v="87"/>
    <s v="Shivamogga"/>
    <x v="0"/>
    <n v="258"/>
    <n v="150769.95000000001"/>
    <n v="4257.99"/>
    <n v="8730.16"/>
    <n v="1711.2588020000001"/>
  </r>
  <r>
    <n v="88"/>
    <s v="Shivamogga"/>
    <x v="1"/>
    <n v="258"/>
    <n v="6200"/>
    <n v="190"/>
    <n v="31.2"/>
    <n v="18"/>
  </r>
  <r>
    <n v="89"/>
    <s v="Shivamogga"/>
    <x v="2"/>
    <n v="258"/>
    <n v="8800"/>
    <n v="210"/>
    <n v="32.85"/>
    <n v="22"/>
  </r>
  <r>
    <n v="90"/>
    <s v="Silvassa"/>
    <x v="0"/>
    <n v="258"/>
    <n v="1705"/>
    <n v="1012"/>
    <n v="32"/>
    <n v="10"/>
  </r>
  <r>
    <n v="91"/>
    <s v="Silvassa"/>
    <x v="1"/>
    <n v="258"/>
    <n v="1631"/>
    <n v="1044"/>
    <n v="36"/>
    <n v="12"/>
  </r>
  <r>
    <n v="92"/>
    <s v="Silvassa"/>
    <x v="2"/>
    <n v="258"/>
    <n v="1525"/>
    <n v="1002"/>
    <n v="42"/>
    <n v="10"/>
  </r>
  <r>
    <n v="93"/>
    <s v="Solapur"/>
    <x v="0"/>
    <n v="258"/>
    <n v="72180"/>
    <n v="300"/>
    <n v="55"/>
    <n v="26"/>
  </r>
  <r>
    <n v="94"/>
    <s v="Solapur"/>
    <x v="1"/>
    <n v="258"/>
    <n v="30363"/>
    <n v="250"/>
    <n v="49"/>
    <n v="28"/>
  </r>
  <r>
    <n v="95"/>
    <s v="Solapur"/>
    <x v="2"/>
    <n v="258"/>
    <n v="22121"/>
    <n v="225"/>
    <n v="48"/>
    <n v="23"/>
  </r>
  <r>
    <n v="96"/>
    <s v="Surat"/>
    <x v="0"/>
    <n v="258"/>
    <n v="8709"/>
    <n v="4.3"/>
    <n v="38.090000000000003"/>
    <n v="8.2899999999999991"/>
  </r>
  <r>
    <n v="97"/>
    <s v="Surat"/>
    <x v="1"/>
    <n v="258"/>
    <n v="82266"/>
    <n v="6"/>
    <n v="35.97"/>
    <n v="14.55"/>
  </r>
  <r>
    <n v="98"/>
    <s v="Surat"/>
    <x v="2"/>
    <n v="258"/>
    <n v="80077"/>
    <n v="5.9"/>
    <n v="36.32"/>
    <n v="12.45"/>
  </r>
  <r>
    <n v="99"/>
    <s v="Thanjavur"/>
    <x v="0"/>
    <n v="258"/>
    <n v="85000"/>
    <n v="30"/>
    <n v="31"/>
    <n v="23"/>
  </r>
  <r>
    <n v="100"/>
    <s v="Thanjavur"/>
    <x v="1"/>
    <n v="258"/>
    <n v="80000"/>
    <n v="30"/>
    <n v="35"/>
    <n v="24"/>
  </r>
  <r>
    <n v="101"/>
    <s v="Thanjavur"/>
    <x v="2"/>
    <n v="258"/>
    <n v="76000"/>
    <n v="32"/>
    <n v="40"/>
    <n v="29"/>
  </r>
  <r>
    <n v="102"/>
    <s v="Tiruchirappalli "/>
    <x v="0"/>
    <n v="258"/>
    <n v="332453"/>
    <n v="22.42"/>
    <n v="30.36"/>
    <n v="27.91"/>
  </r>
  <r>
    <n v="103"/>
    <s v="Tiruchirappalli "/>
    <x v="1"/>
    <n v="258"/>
    <n v="329111"/>
    <n v="23.03"/>
    <n v="33.880000000000003"/>
    <n v="31.55"/>
  </r>
  <r>
    <n v="104"/>
    <s v="Tiruchirappalli "/>
    <x v="2"/>
    <n v="258"/>
    <n v="263254"/>
    <n v="28.81"/>
    <n v="38.43"/>
    <n v="34.450000000000003"/>
  </r>
  <r>
    <n v="105"/>
    <s v="Tirunelveli"/>
    <x v="0"/>
    <n v="258"/>
    <n v="96000"/>
    <n v="35"/>
    <n v="0.55000000000000004"/>
    <n v="19.05"/>
  </r>
  <r>
    <n v="106"/>
    <s v="Tirunelveli"/>
    <x v="1"/>
    <n v="258"/>
    <n v="96640"/>
    <n v="35"/>
    <n v="0.57999999999999996"/>
    <n v="21.78"/>
  </r>
  <r>
    <n v="107"/>
    <s v="Tirunelveli"/>
    <x v="2"/>
    <n v="258"/>
    <n v="96640"/>
    <n v="35"/>
    <n v="0.57999999999999996"/>
    <n v="27.61"/>
  </r>
  <r>
    <n v="108"/>
    <s v="Tirupati"/>
    <x v="0"/>
    <n v="258"/>
    <n v="36000"/>
    <n v="11.87"/>
    <n v="119.7"/>
    <n v="90"/>
  </r>
  <r>
    <n v="109"/>
    <s v="Tirupati"/>
    <x v="1"/>
    <n v="258"/>
    <n v="150769.95000000001"/>
    <n v="4257.99"/>
    <n v="8730.16"/>
    <n v="1711.2588020000001"/>
  </r>
  <r>
    <n v="110"/>
    <s v="Tirupati"/>
    <x v="2"/>
    <n v="258"/>
    <n v="150769.95000000001"/>
    <n v="4257.99"/>
    <n v="8730.16"/>
    <n v="1711.2588020000001"/>
  </r>
  <r>
    <n v="111"/>
    <s v="Tiruppur"/>
    <x v="0"/>
    <n v="258"/>
    <n v="160000"/>
    <n v="4257.99"/>
    <n v="28.86"/>
    <n v="19.920000000000002"/>
  </r>
  <r>
    <n v="112"/>
    <s v="Tiruppur"/>
    <x v="1"/>
    <n v="258"/>
    <n v="166000"/>
    <n v="4257.99"/>
    <n v="31.13"/>
    <n v="20.51"/>
  </r>
  <r>
    <n v="113"/>
    <s v="Tiruppur"/>
    <x v="2"/>
    <n v="258"/>
    <n v="175000"/>
    <n v="4257.99"/>
    <n v="38.78"/>
    <n v="22.8"/>
  </r>
  <r>
    <n v="114"/>
    <s v="Vadodara"/>
    <x v="0"/>
    <n v="258"/>
    <n v="45000"/>
    <n v="13750"/>
    <n v="18"/>
    <n v="12"/>
  </r>
  <r>
    <n v="115"/>
    <s v="Vadodara"/>
    <x v="1"/>
    <n v="258"/>
    <n v="45000"/>
    <n v="13750"/>
    <n v="19"/>
    <n v="14"/>
  </r>
  <r>
    <n v="116"/>
    <s v="Vadodara"/>
    <x v="2"/>
    <n v="258"/>
    <n v="115000"/>
    <n v="30000"/>
    <n v="28"/>
    <n v="30"/>
  </r>
  <r>
    <n v="117"/>
    <s v="Varanasi"/>
    <x v="0"/>
    <n v="258"/>
    <n v="15068"/>
    <n v="38.200000000000003"/>
    <n v="21.33"/>
    <n v="20.07"/>
  </r>
  <r>
    <n v="118"/>
    <s v="Varanasi"/>
    <x v="1"/>
    <n v="258"/>
    <n v="13205"/>
    <n v="38.380000000000003"/>
    <n v="22.37"/>
    <n v="21.1"/>
  </r>
  <r>
    <n v="119"/>
    <s v="Varanasi"/>
    <x v="2"/>
    <n v="258"/>
    <n v="12792"/>
    <n v="37.119999999999997"/>
    <n v="23.46"/>
    <n v="20.010000000000002"/>
  </r>
  <r>
    <n v="120"/>
    <s v="Visakhapatnam"/>
    <x v="0"/>
    <n v="258"/>
    <n v="269257"/>
    <n v="20"/>
    <n v="39.56"/>
    <n v="34.869999999999997"/>
  </r>
  <r>
    <n v="121"/>
    <s v="Visakhapatnam"/>
    <x v="1"/>
    <n v="258"/>
    <n v="279798"/>
    <n v="20"/>
    <n v="42.87"/>
    <n v="36.590000000000003"/>
  </r>
  <r>
    <n v="122"/>
    <s v="Visakhapatnam"/>
    <x v="2"/>
    <n v="258"/>
    <n v="304848"/>
    <n v="20"/>
    <n v="43.92"/>
    <n v="40.21"/>
  </r>
  <r>
    <n v="123"/>
    <s v="Warangal"/>
    <x v="0"/>
    <n v="258"/>
    <n v="8.2200000000000006"/>
    <n v="3.53"/>
    <n v="33.5"/>
    <n v="31.11"/>
  </r>
  <r>
    <n v="124"/>
    <s v="Warangal"/>
    <x v="1"/>
    <n v="258"/>
    <n v="8.32"/>
    <n v="3.65"/>
    <n v="33.81"/>
    <n v="31.03"/>
  </r>
  <r>
    <n v="125"/>
    <s v="Warangal"/>
    <x v="2"/>
    <n v="258"/>
    <n v="9.5399999999999991"/>
    <n v="3.85"/>
    <n v="34.58"/>
    <n v="33.5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5">
  <r>
    <n v="1"/>
    <s v="Agra"/>
    <x v="0"/>
    <n v="245"/>
    <n v="20222"/>
    <n v="16546"/>
    <n v="301632"/>
    <n v="18.23"/>
  </r>
  <r>
    <n v="2"/>
    <s v="Agra"/>
    <x v="1"/>
    <n v="258"/>
    <n v="16392"/>
    <n v="15030"/>
    <n v="273793"/>
    <n v="18.22"/>
  </r>
  <r>
    <n v="3"/>
    <s v="Agra"/>
    <x v="2"/>
    <n v="258"/>
    <n v="16742"/>
    <n v="16408"/>
    <n v="305810"/>
    <n v="18.399999999999999"/>
  </r>
  <r>
    <n v="4"/>
    <s v="Aizawl"/>
    <x v="0"/>
    <n v="258"/>
    <n v="200"/>
    <n v="45"/>
    <n v="5"/>
    <n v="5"/>
  </r>
  <r>
    <n v="5"/>
    <s v="Aizawl"/>
    <x v="1"/>
    <n v="258"/>
    <n v="200"/>
    <n v="45"/>
    <n v="5"/>
    <n v="5"/>
  </r>
  <r>
    <n v="6"/>
    <s v="Aizawl"/>
    <x v="2"/>
    <n v="258"/>
    <n v="200"/>
    <n v="45"/>
    <n v="5"/>
    <n v="5"/>
  </r>
  <r>
    <n v="7"/>
    <s v="Aurangabad Maharashtra"/>
    <x v="0"/>
    <n v="258"/>
    <n v="17551"/>
    <n v="11.41"/>
    <n v="32.79"/>
    <n v="28.18"/>
  </r>
  <r>
    <n v="8"/>
    <s v="Aurangabad Maharashtra"/>
    <x v="1"/>
    <n v="258"/>
    <n v="15975"/>
    <n v="9.7799999999999994"/>
    <n v="36.840000000000003"/>
    <n v="25.6"/>
  </r>
  <r>
    <n v="9"/>
    <s v="Aurangabad Maharashtra"/>
    <x v="2"/>
    <n v="258"/>
    <n v="14186"/>
    <n v="8.9"/>
    <n v="37.17"/>
    <n v="27.57"/>
  </r>
  <r>
    <n v="10"/>
    <s v="Bareilly"/>
    <x v="0"/>
    <n v="258"/>
    <n v="975000"/>
    <n v="195.22"/>
    <n v="5"/>
    <n v="4994"/>
  </r>
  <r>
    <n v="11"/>
    <s v="Bareilly"/>
    <x v="1"/>
    <n v="258"/>
    <n v="975000"/>
    <n v="195.22"/>
    <n v="5"/>
    <n v="4994"/>
  </r>
  <r>
    <n v="12"/>
    <s v="Bareilly"/>
    <x v="2"/>
    <n v="258"/>
    <n v="975000"/>
    <n v="195.22"/>
    <n v="5"/>
    <n v="4994"/>
  </r>
  <r>
    <n v="13"/>
    <s v="Belagavi"/>
    <x v="1"/>
    <n v="258"/>
    <n v="90000"/>
    <n v="9"/>
    <n v="0.44"/>
    <n v="27659"/>
  </r>
  <r>
    <n v="14"/>
    <s v="Belagavi"/>
    <x v="2"/>
    <n v="258"/>
    <n v="93000"/>
    <n v="11"/>
    <n v="0.43"/>
    <n v="2755"/>
  </r>
  <r>
    <n v="15"/>
    <s v="Bengaluru"/>
    <x v="0"/>
    <n v="258"/>
    <n v="50.74"/>
    <n v="18.440000000000001"/>
    <n v="4907.9320870000001"/>
    <n v="4291.0591480000003"/>
  </r>
  <r>
    <n v="16"/>
    <s v="Bengaluru"/>
    <x v="1"/>
    <n v="258"/>
    <n v="45.34"/>
    <n v="18.57"/>
    <n v="5628.7791310000002"/>
    <n v="4210.19571"/>
  </r>
  <r>
    <n v="17"/>
    <s v="Bengaluru"/>
    <x v="2"/>
    <n v="258"/>
    <n v="44.37"/>
    <n v="19.100000000000001"/>
    <n v="5870.0741740000003"/>
    <n v="4237.4673730000004"/>
  </r>
  <r>
    <n v="18"/>
    <s v="Bhopal"/>
    <x v="0"/>
    <n v="258"/>
    <n v="67842"/>
    <n v="23"/>
    <n v="8730.16"/>
    <n v="25.94"/>
  </r>
  <r>
    <n v="19"/>
    <s v="Bhopal"/>
    <x v="1"/>
    <n v="258"/>
    <n v="58107"/>
    <n v="23.5"/>
    <n v="8730.16"/>
    <n v="33.64"/>
  </r>
  <r>
    <n v="20"/>
    <s v="Bhopal"/>
    <x v="2"/>
    <n v="258"/>
    <n v="145447"/>
    <n v="27"/>
    <n v="8730.16"/>
    <n v="26.82"/>
  </r>
  <r>
    <n v="21"/>
    <s v="Bhubneshwar"/>
    <x v="3"/>
    <n v="258"/>
    <n v="68000"/>
    <n v="36000"/>
    <n v="8730.16"/>
    <n v="25"/>
  </r>
  <r>
    <n v="22"/>
    <s v="Chandigarh "/>
    <x v="0"/>
    <n v="258"/>
    <n v="1.41"/>
    <n v="171.64"/>
    <n v="57.47"/>
    <n v="37.549999999999997"/>
  </r>
  <r>
    <n v="23"/>
    <s v="Chandigarh "/>
    <x v="1"/>
    <n v="258"/>
    <n v="1.22"/>
    <n v="186.67"/>
    <n v="55.73"/>
    <n v="35.22"/>
  </r>
  <r>
    <n v="24"/>
    <s v="Chandigarh "/>
    <x v="2"/>
    <n v="258"/>
    <n v="1.36"/>
    <n v="186.54"/>
    <n v="57.35"/>
    <n v="34.53"/>
  </r>
  <r>
    <n v="25"/>
    <s v="Davanagere"/>
    <x v="0"/>
    <n v="258"/>
    <n v="6738"/>
    <n v="16"/>
    <n v="33.89"/>
    <n v="22.71"/>
  </r>
  <r>
    <n v="26"/>
    <s v="Davanagere"/>
    <x v="1"/>
    <n v="258"/>
    <n v="15244"/>
    <n v="16"/>
    <n v="33.33"/>
    <n v="24.08"/>
  </r>
  <r>
    <n v="27"/>
    <s v="Davanagere"/>
    <x v="2"/>
    <n v="258"/>
    <n v="43673"/>
    <n v="16"/>
    <n v="32.380000000000003"/>
    <n v="25.74"/>
  </r>
  <r>
    <n v="28"/>
    <s v="Dehradun"/>
    <x v="0"/>
    <n v="258"/>
    <n v="150769.95000000001"/>
    <n v="29005"/>
    <n v="8730.16"/>
    <n v="1711.2588020000001"/>
  </r>
  <r>
    <n v="29"/>
    <s v="Dehradun"/>
    <x v="1"/>
    <n v="258"/>
    <n v="150769.95000000001"/>
    <n v="29005"/>
    <n v="8730.16"/>
    <n v="1711.2588020000001"/>
  </r>
  <r>
    <n v="30"/>
    <s v="Dehradun"/>
    <x v="2"/>
    <n v="258"/>
    <n v="150769.95000000001"/>
    <n v="27855"/>
    <n v="8730.16"/>
    <n v="1711.2588020000001"/>
  </r>
  <r>
    <n v="31"/>
    <s v="Erode"/>
    <x v="0"/>
    <n v="258"/>
    <n v="90432"/>
    <n v="35"/>
    <n v="39"/>
    <n v="29.02"/>
  </r>
  <r>
    <n v="32"/>
    <s v="Erode"/>
    <x v="1"/>
    <n v="258"/>
    <n v="88324"/>
    <n v="35"/>
    <n v="42"/>
    <n v="28.54"/>
  </r>
  <r>
    <n v="33"/>
    <s v="Erode"/>
    <x v="2"/>
    <n v="258"/>
    <n v="64998"/>
    <n v="35"/>
    <n v="45"/>
    <n v="27.79"/>
  </r>
  <r>
    <n v="34"/>
    <s v="Faridabad"/>
    <x v="0"/>
    <n v="258"/>
    <n v="7680"/>
    <n v="12000"/>
    <n v="17"/>
    <n v="30"/>
  </r>
  <r>
    <n v="35"/>
    <s v="Faridabad"/>
    <x v="1"/>
    <n v="258"/>
    <n v="6960"/>
    <n v="12500"/>
    <n v="17"/>
    <n v="29"/>
  </r>
  <r>
    <n v="36"/>
    <s v="Faridabad"/>
    <x v="2"/>
    <n v="258"/>
    <n v="9840"/>
    <n v="10500"/>
    <n v="17"/>
    <n v="30"/>
  </r>
  <r>
    <n v="37"/>
    <s v="Indore"/>
    <x v="0"/>
    <n v="258"/>
    <n v="70134"/>
    <n v="20000"/>
    <n v="17.53"/>
    <n v="25.52"/>
  </r>
  <r>
    <n v="38"/>
    <s v="Indore"/>
    <x v="1"/>
    <n v="258"/>
    <n v="88354"/>
    <n v="37400"/>
    <n v="20.54"/>
    <n v="29.95"/>
  </r>
  <r>
    <n v="39"/>
    <s v="Indore"/>
    <x v="2"/>
    <n v="258"/>
    <n v="155428"/>
    <n v="37400"/>
    <n v="26.94"/>
    <n v="37.68"/>
  </r>
  <r>
    <n v="40"/>
    <s v="Jabalpur"/>
    <x v="0"/>
    <n v="258"/>
    <n v="35000"/>
    <n v="18.5"/>
    <n v="36"/>
    <n v="36.799999999999997"/>
  </r>
  <r>
    <n v="41"/>
    <s v="Jabalpur"/>
    <x v="1"/>
    <n v="258"/>
    <n v="38000"/>
    <n v="18.5"/>
    <n v="38"/>
    <n v="37.5"/>
  </r>
  <r>
    <n v="42"/>
    <s v="Jabalpur"/>
    <x v="2"/>
    <n v="258"/>
    <n v="40000"/>
    <n v="18"/>
    <n v="41"/>
    <n v="39"/>
  </r>
  <r>
    <n v="43"/>
    <s v="Kanpur"/>
    <x v="0"/>
    <n v="258"/>
    <n v="11366"/>
    <n v="11649"/>
    <n v="36.049999999999997"/>
    <n v="18.62"/>
  </r>
  <r>
    <n v="44"/>
    <s v="Kanpur"/>
    <x v="1"/>
    <n v="258"/>
    <n v="23316"/>
    <n v="18927"/>
    <n v="37"/>
    <n v="18.98"/>
  </r>
  <r>
    <n v="45"/>
    <s v="Kanpur"/>
    <x v="2"/>
    <n v="258"/>
    <n v="19216"/>
    <n v="20238"/>
    <n v="39.659999999999997"/>
    <n v="20.92"/>
  </r>
  <r>
    <n v="46"/>
    <s v="Kohima"/>
    <x v="0"/>
    <n v="258"/>
    <n v="180"/>
    <n v="64"/>
    <n v="9"/>
    <n v="90"/>
  </r>
  <r>
    <n v="47"/>
    <s v="Kohima"/>
    <x v="1"/>
    <n v="258"/>
    <n v="180"/>
    <n v="64"/>
    <n v="5"/>
    <n v="80"/>
  </r>
  <r>
    <n v="48"/>
    <s v="Kohima"/>
    <x v="2"/>
    <n v="258"/>
    <n v="160"/>
    <n v="64"/>
    <n v="5"/>
    <n v="70"/>
  </r>
  <r>
    <n v="49"/>
    <s v="Kota"/>
    <x v="1"/>
    <n v="258"/>
    <n v="5000"/>
    <n v="186"/>
    <n v="49"/>
    <n v="7.54"/>
  </r>
  <r>
    <n v="50"/>
    <s v="Kota"/>
    <x v="2"/>
    <n v="258"/>
    <n v="6000"/>
    <n v="186"/>
    <n v="49"/>
    <n v="7.54"/>
  </r>
  <r>
    <n v="51"/>
    <s v="Lucknow"/>
    <x v="0"/>
    <n v="258"/>
    <n v="270"/>
    <n v="29"/>
    <n v="25.22"/>
    <n v="20.16"/>
  </r>
  <r>
    <n v="52"/>
    <s v="Lucknow"/>
    <x v="1"/>
    <n v="258"/>
    <n v="216"/>
    <n v="28"/>
    <n v="24.47"/>
    <n v="17.61"/>
  </r>
  <r>
    <n v="53"/>
    <s v="Lucknow"/>
    <x v="2"/>
    <n v="258"/>
    <n v="225"/>
    <n v="30"/>
    <n v="28.2"/>
    <n v="21.62"/>
  </r>
  <r>
    <n v="54"/>
    <s v="Madurai  "/>
    <x v="0"/>
    <n v="258"/>
    <n v="545945"/>
    <n v="60"/>
    <n v="34"/>
    <n v="24"/>
  </r>
  <r>
    <n v="55"/>
    <s v="Madurai  "/>
    <x v="1"/>
    <n v="258"/>
    <n v="524293"/>
    <n v="62"/>
    <n v="36"/>
    <n v="23"/>
  </r>
  <r>
    <n v="56"/>
    <s v="Madurai  "/>
    <x v="2"/>
    <n v="258"/>
    <n v="513562"/>
    <n v="66"/>
    <n v="41"/>
    <n v="27"/>
  </r>
  <r>
    <n v="57"/>
    <s v="Mangaluru"/>
    <x v="0"/>
    <n v="258"/>
    <n v="158944"/>
    <n v="4257.99"/>
    <n v="8730.16"/>
    <n v="1711.2588020000001"/>
  </r>
  <r>
    <n v="58"/>
    <s v="Mangaluru"/>
    <x v="1"/>
    <n v="258"/>
    <n v="0"/>
    <n v="4257.99"/>
    <n v="8730.16"/>
    <n v="1711.2588020000001"/>
  </r>
  <r>
    <n v="59"/>
    <s v="Mangaluru"/>
    <x v="2"/>
    <n v="258"/>
    <n v="256"/>
    <n v="4257.99"/>
    <n v="8730.16"/>
    <n v="1711.2588020000001"/>
  </r>
  <r>
    <n v="60"/>
    <s v="Muzaffarpur"/>
    <x v="0"/>
    <n v="258"/>
    <n v="4201"/>
    <n v="5102"/>
    <n v="15"/>
    <n v="26"/>
  </r>
  <r>
    <n v="61"/>
    <s v="Muzaffarpur"/>
    <x v="1"/>
    <n v="258"/>
    <n v="7840"/>
    <n v="11198"/>
    <n v="15"/>
    <n v="25"/>
  </r>
  <r>
    <n v="62"/>
    <s v="Muzaffarpur"/>
    <x v="2"/>
    <n v="258"/>
    <n v="7851"/>
    <n v="11202"/>
    <n v="15"/>
    <n v="25"/>
  </r>
  <r>
    <n v="63"/>
    <s v="Nagpur"/>
    <x v="0"/>
    <n v="258"/>
    <n v="150769.95000000001"/>
    <n v="4257.99"/>
    <n v="8730.16"/>
    <n v="1711.2588020000001"/>
  </r>
  <r>
    <n v="64"/>
    <s v="Nagpur"/>
    <x v="1"/>
    <n v="258"/>
    <n v="35838"/>
    <n v="16.5"/>
    <n v="63.62"/>
    <n v="28"/>
  </r>
  <r>
    <n v="65"/>
    <s v="Nagpur"/>
    <x v="2"/>
    <n v="258"/>
    <n v="157766"/>
    <n v="14.98"/>
    <n v="59.93"/>
    <n v="24"/>
  </r>
  <r>
    <n v="66"/>
    <s v="New Town Kolkota"/>
    <x v="0"/>
    <n v="258"/>
    <n v="90407"/>
    <n v="7.67"/>
    <n v="28.36"/>
    <n v="33.9"/>
  </r>
  <r>
    <n v="67"/>
    <s v="New Town Kolkota"/>
    <x v="1"/>
    <n v="258"/>
    <n v="139211"/>
    <n v="7.67"/>
    <n v="29.15"/>
    <n v="35.6"/>
  </r>
  <r>
    <n v="68"/>
    <s v="New Town Kolkota"/>
    <x v="2"/>
    <n v="258"/>
    <n v="152093"/>
    <n v="7.67"/>
    <n v="31.94"/>
    <n v="36.909999999999997"/>
  </r>
  <r>
    <n v="69"/>
    <s v="Pimpri Chinchwad"/>
    <x v="0"/>
    <n v="258"/>
    <n v="1124328"/>
    <n v="18"/>
    <n v="81.010000000000005"/>
    <n v="67.77"/>
  </r>
  <r>
    <n v="70"/>
    <s v="Pimpri Chinchwad"/>
    <x v="1"/>
    <n v="258"/>
    <n v="1079223"/>
    <n v="18"/>
    <n v="85.19"/>
    <n v="65.94"/>
  </r>
  <r>
    <n v="71"/>
    <s v="Pimpri Chinchwad"/>
    <x v="2"/>
    <n v="258"/>
    <n v="1089208"/>
    <n v="22"/>
    <n v="76.98"/>
    <n v="58.73"/>
  </r>
  <r>
    <n v="72"/>
    <s v="Prayagraj"/>
    <x v="0"/>
    <n v="258"/>
    <n v="20600"/>
    <n v="4257.99"/>
    <n v="25.35"/>
    <n v="18.79"/>
  </r>
  <r>
    <n v="73"/>
    <s v="Prayagraj"/>
    <x v="1"/>
    <n v="258"/>
    <n v="18200"/>
    <n v="4257.99"/>
    <n v="25.36"/>
    <n v="17.96"/>
  </r>
  <r>
    <n v="74"/>
    <s v="Prayagraj"/>
    <x v="2"/>
    <n v="258"/>
    <n v="17600"/>
    <n v="4257.99"/>
    <n v="26.3"/>
    <n v="18.309999999999999"/>
  </r>
  <r>
    <n v="75"/>
    <s v="Pune"/>
    <x v="0"/>
    <n v="258"/>
    <n v="1124328"/>
    <n v="18"/>
    <n v="81.010000000000005"/>
    <n v="67.77"/>
  </r>
  <r>
    <n v="76"/>
    <s v="Pune"/>
    <x v="1"/>
    <n v="258"/>
    <n v="1079223"/>
    <n v="18"/>
    <n v="85.19"/>
    <n v="65.94"/>
  </r>
  <r>
    <n v="77"/>
    <s v="Pune"/>
    <x v="2"/>
    <n v="258"/>
    <n v="1089208"/>
    <n v="22"/>
    <n v="76.98"/>
    <n v="58.73"/>
  </r>
  <r>
    <n v="78"/>
    <s v="Raipur"/>
    <x v="0"/>
    <n v="258"/>
    <n v="18840"/>
    <n v="11304"/>
    <n v="22608"/>
    <n v="45216"/>
  </r>
  <r>
    <n v="79"/>
    <s v="Raipur"/>
    <x v="1"/>
    <n v="258"/>
    <n v="18840"/>
    <n v="11304"/>
    <n v="22608"/>
    <n v="45216"/>
  </r>
  <r>
    <n v="80"/>
    <s v="Raipur"/>
    <x v="2"/>
    <n v="258"/>
    <n v="18840"/>
    <n v="11304"/>
    <n v="22608"/>
    <n v="45216"/>
  </r>
  <r>
    <n v="81"/>
    <s v="Salem"/>
    <x v="0"/>
    <n v="258"/>
    <n v="319838"/>
    <n v="21"/>
    <n v="34.529000000000003"/>
    <n v="18.28"/>
  </r>
  <r>
    <n v="82"/>
    <s v="Salem"/>
    <x v="1"/>
    <n v="258"/>
    <n v="324463"/>
    <n v="21"/>
    <n v="38.456000000000003"/>
    <n v="18.27"/>
  </r>
  <r>
    <n v="83"/>
    <s v="Salem"/>
    <x v="2"/>
    <n v="258"/>
    <n v="325992"/>
    <n v="21"/>
    <n v="45.095999999999997"/>
    <n v="20.49"/>
  </r>
  <r>
    <n v="84"/>
    <s v="Shillong"/>
    <x v="0"/>
    <n v="258"/>
    <n v="40"/>
    <n v="30"/>
    <n v="83"/>
    <n v="40"/>
  </r>
  <r>
    <n v="85"/>
    <s v="Shillong"/>
    <x v="1"/>
    <n v="258"/>
    <n v="35"/>
    <n v="25"/>
    <n v="75"/>
    <n v="35"/>
  </r>
  <r>
    <n v="86"/>
    <s v="Shillong"/>
    <x v="2"/>
    <n v="258"/>
    <n v="30"/>
    <n v="20"/>
    <n v="75"/>
    <n v="35"/>
  </r>
  <r>
    <n v="87"/>
    <s v="Shivamogga"/>
    <x v="0"/>
    <n v="258"/>
    <n v="150769.95000000001"/>
    <n v="4257.99"/>
    <n v="8730.16"/>
    <n v="1711.2588020000001"/>
  </r>
  <r>
    <n v="88"/>
    <s v="Shivamogga"/>
    <x v="1"/>
    <n v="258"/>
    <n v="6200"/>
    <n v="190"/>
    <n v="31.2"/>
    <n v="18"/>
  </r>
  <r>
    <n v="89"/>
    <s v="Shivamogga"/>
    <x v="2"/>
    <n v="258"/>
    <n v="8800"/>
    <n v="210"/>
    <n v="32.85"/>
    <n v="22"/>
  </r>
  <r>
    <n v="90"/>
    <s v="Silvassa"/>
    <x v="0"/>
    <n v="258"/>
    <n v="1705"/>
    <n v="1012"/>
    <n v="32"/>
    <n v="10"/>
  </r>
  <r>
    <n v="91"/>
    <s v="Silvassa"/>
    <x v="1"/>
    <n v="258"/>
    <n v="1631"/>
    <n v="1044"/>
    <n v="36"/>
    <n v="12"/>
  </r>
  <r>
    <n v="92"/>
    <s v="Silvassa"/>
    <x v="2"/>
    <n v="258"/>
    <n v="1525"/>
    <n v="1002"/>
    <n v="42"/>
    <n v="10"/>
  </r>
  <r>
    <n v="93"/>
    <s v="Solapur"/>
    <x v="0"/>
    <n v="258"/>
    <n v="72180"/>
    <n v="300"/>
    <n v="55"/>
    <n v="26"/>
  </r>
  <r>
    <n v="94"/>
    <s v="Solapur"/>
    <x v="1"/>
    <n v="258"/>
    <n v="30363"/>
    <n v="250"/>
    <n v="49"/>
    <n v="28"/>
  </r>
  <r>
    <n v="95"/>
    <s v="Solapur"/>
    <x v="2"/>
    <n v="258"/>
    <n v="22121"/>
    <n v="225"/>
    <n v="48"/>
    <n v="23"/>
  </r>
  <r>
    <n v="96"/>
    <s v="Surat"/>
    <x v="0"/>
    <n v="258"/>
    <n v="8709"/>
    <n v="4.3"/>
    <n v="38.090000000000003"/>
    <n v="8.2899999999999991"/>
  </r>
  <r>
    <n v="97"/>
    <s v="Surat"/>
    <x v="1"/>
    <n v="258"/>
    <n v="82266"/>
    <n v="6"/>
    <n v="35.97"/>
    <n v="14.55"/>
  </r>
  <r>
    <n v="98"/>
    <s v="Surat"/>
    <x v="2"/>
    <n v="258"/>
    <n v="80077"/>
    <n v="5.9"/>
    <n v="36.32"/>
    <n v="12.45"/>
  </r>
  <r>
    <n v="99"/>
    <s v="Thanjavur"/>
    <x v="0"/>
    <n v="258"/>
    <n v="85000"/>
    <n v="30"/>
    <n v="31"/>
    <n v="23"/>
  </r>
  <r>
    <n v="100"/>
    <s v="Thanjavur"/>
    <x v="1"/>
    <n v="258"/>
    <n v="80000"/>
    <n v="30"/>
    <n v="35"/>
    <n v="24"/>
  </r>
  <r>
    <n v="101"/>
    <s v="Thanjavur"/>
    <x v="2"/>
    <n v="258"/>
    <n v="76000"/>
    <n v="32"/>
    <n v="40"/>
    <n v="29"/>
  </r>
  <r>
    <n v="102"/>
    <s v="Tiruchirappalli "/>
    <x v="0"/>
    <n v="258"/>
    <n v="332453"/>
    <n v="22.42"/>
    <n v="30.36"/>
    <n v="27.91"/>
  </r>
  <r>
    <n v="103"/>
    <s v="Tiruchirappalli "/>
    <x v="1"/>
    <n v="258"/>
    <n v="329111"/>
    <n v="23.03"/>
    <n v="33.880000000000003"/>
    <n v="31.55"/>
  </r>
  <r>
    <n v="104"/>
    <s v="Tiruchirappalli "/>
    <x v="2"/>
    <n v="258"/>
    <n v="263254"/>
    <n v="28.81"/>
    <n v="38.43"/>
    <n v="34.450000000000003"/>
  </r>
  <r>
    <n v="105"/>
    <s v="Tirunelveli"/>
    <x v="0"/>
    <n v="258"/>
    <n v="96000"/>
    <n v="35"/>
    <n v="0.55000000000000004"/>
    <n v="19.05"/>
  </r>
  <r>
    <n v="106"/>
    <s v="Tirunelveli"/>
    <x v="1"/>
    <n v="258"/>
    <n v="96640"/>
    <n v="35"/>
    <n v="0.57999999999999996"/>
    <n v="21.78"/>
  </r>
  <r>
    <n v="107"/>
    <s v="Tirunelveli"/>
    <x v="2"/>
    <n v="258"/>
    <n v="96640"/>
    <n v="35"/>
    <n v="0.57999999999999996"/>
    <n v="27.61"/>
  </r>
  <r>
    <n v="108"/>
    <s v="Tirupati"/>
    <x v="0"/>
    <n v="258"/>
    <n v="36000"/>
    <n v="11.87"/>
    <n v="119.7"/>
    <n v="90"/>
  </r>
  <r>
    <n v="109"/>
    <s v="Tirupati"/>
    <x v="1"/>
    <n v="258"/>
    <n v="150769.95000000001"/>
    <n v="4257.99"/>
    <n v="8730.16"/>
    <n v="1711.2588020000001"/>
  </r>
  <r>
    <n v="110"/>
    <s v="Tirupati"/>
    <x v="2"/>
    <n v="258"/>
    <n v="150769.95000000001"/>
    <n v="4257.99"/>
    <n v="8730.16"/>
    <n v="1711.2588020000001"/>
  </r>
  <r>
    <n v="111"/>
    <s v="Tiruppur"/>
    <x v="0"/>
    <n v="258"/>
    <n v="160000"/>
    <n v="4257.99"/>
    <n v="28.86"/>
    <n v="19.920000000000002"/>
  </r>
  <r>
    <n v="112"/>
    <s v="Tiruppur"/>
    <x v="1"/>
    <n v="258"/>
    <n v="166000"/>
    <n v="4257.99"/>
    <n v="31.13"/>
    <n v="20.51"/>
  </r>
  <r>
    <n v="113"/>
    <s v="Tiruppur"/>
    <x v="2"/>
    <n v="258"/>
    <n v="175000"/>
    <n v="4257.99"/>
    <n v="38.78"/>
    <n v="22.8"/>
  </r>
  <r>
    <n v="114"/>
    <s v="Vadodara"/>
    <x v="0"/>
    <n v="258"/>
    <n v="45000"/>
    <n v="13750"/>
    <n v="18"/>
    <n v="12"/>
  </r>
  <r>
    <n v="115"/>
    <s v="Vadodara"/>
    <x v="1"/>
    <n v="258"/>
    <n v="45000"/>
    <n v="13750"/>
    <n v="19"/>
    <n v="14"/>
  </r>
  <r>
    <n v="116"/>
    <s v="Vadodara"/>
    <x v="2"/>
    <n v="258"/>
    <n v="115000"/>
    <n v="30000"/>
    <n v="28"/>
    <n v="30"/>
  </r>
  <r>
    <n v="117"/>
    <s v="Varanasi"/>
    <x v="0"/>
    <n v="258"/>
    <n v="15068"/>
    <n v="38.200000000000003"/>
    <n v="21.33"/>
    <n v="20.07"/>
  </r>
  <r>
    <n v="118"/>
    <s v="Varanasi"/>
    <x v="1"/>
    <n v="258"/>
    <n v="13205"/>
    <n v="38.380000000000003"/>
    <n v="22.37"/>
    <n v="21.1"/>
  </r>
  <r>
    <n v="119"/>
    <s v="Varanasi"/>
    <x v="2"/>
    <n v="258"/>
    <n v="12792"/>
    <n v="37.119999999999997"/>
    <n v="23.46"/>
    <n v="20.010000000000002"/>
  </r>
  <r>
    <n v="120"/>
    <s v="Visakhapatnam"/>
    <x v="0"/>
    <n v="258"/>
    <n v="269257"/>
    <n v="20"/>
    <n v="39.56"/>
    <n v="34.869999999999997"/>
  </r>
  <r>
    <n v="121"/>
    <s v="Visakhapatnam"/>
    <x v="1"/>
    <n v="258"/>
    <n v="279798"/>
    <n v="20"/>
    <n v="42.87"/>
    <n v="36.590000000000003"/>
  </r>
  <r>
    <n v="122"/>
    <s v="Visakhapatnam"/>
    <x v="2"/>
    <n v="258"/>
    <n v="304848"/>
    <n v="20"/>
    <n v="43.92"/>
    <n v="40.21"/>
  </r>
  <r>
    <n v="123"/>
    <s v="Warangal"/>
    <x v="0"/>
    <n v="258"/>
    <n v="8.2200000000000006"/>
    <n v="3.53"/>
    <n v="33.5"/>
    <n v="31.11"/>
  </r>
  <r>
    <n v="124"/>
    <s v="Warangal"/>
    <x v="1"/>
    <n v="258"/>
    <n v="8.32"/>
    <n v="3.65"/>
    <n v="33.81"/>
    <n v="31.03"/>
  </r>
  <r>
    <n v="125"/>
    <s v="Warangal"/>
    <x v="2"/>
    <n v="258"/>
    <n v="9.5399999999999991"/>
    <n v="3.85"/>
    <n v="34.58"/>
    <n v="33.5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25">
  <r>
    <n v="1"/>
    <x v="0"/>
    <s v="2015-16"/>
    <n v="245"/>
    <n v="20222"/>
    <n v="16546"/>
    <n v="301632"/>
    <n v="18.23"/>
  </r>
  <r>
    <n v="2"/>
    <x v="0"/>
    <s v="2016-17"/>
    <n v="258"/>
    <n v="16392"/>
    <n v="15030"/>
    <n v="273793"/>
    <n v="18.22"/>
  </r>
  <r>
    <n v="3"/>
    <x v="0"/>
    <s v="2017-18"/>
    <n v="258"/>
    <n v="16742"/>
    <n v="16408"/>
    <n v="305810"/>
    <n v="18.399999999999999"/>
  </r>
  <r>
    <n v="4"/>
    <x v="1"/>
    <s v="2015-16"/>
    <n v="258"/>
    <n v="200"/>
    <n v="45"/>
    <n v="5"/>
    <n v="5"/>
  </r>
  <r>
    <n v="5"/>
    <x v="1"/>
    <s v="2016-17"/>
    <n v="258"/>
    <n v="200"/>
    <n v="45"/>
    <n v="5"/>
    <n v="5"/>
  </r>
  <r>
    <n v="6"/>
    <x v="1"/>
    <s v="2017-18"/>
    <n v="258"/>
    <n v="200"/>
    <n v="45"/>
    <n v="5"/>
    <n v="5"/>
  </r>
  <r>
    <n v="7"/>
    <x v="2"/>
    <s v="2015-16"/>
    <n v="258"/>
    <n v="17551"/>
    <n v="11.41"/>
    <n v="32.79"/>
    <n v="28.18"/>
  </r>
  <r>
    <n v="8"/>
    <x v="2"/>
    <s v="2016-17"/>
    <n v="258"/>
    <n v="15975"/>
    <n v="9.7799999999999994"/>
    <n v="36.840000000000003"/>
    <n v="25.6"/>
  </r>
  <r>
    <n v="9"/>
    <x v="2"/>
    <s v="2017-18"/>
    <n v="258"/>
    <n v="14186"/>
    <n v="8.9"/>
    <n v="37.17"/>
    <n v="27.57"/>
  </r>
  <r>
    <n v="10"/>
    <x v="3"/>
    <s v="2015-16"/>
    <n v="258"/>
    <n v="975000"/>
    <n v="195.22"/>
    <n v="5"/>
    <n v="4994"/>
  </r>
  <r>
    <n v="11"/>
    <x v="3"/>
    <s v="2016-17"/>
    <n v="258"/>
    <n v="975000"/>
    <n v="195.22"/>
    <n v="5"/>
    <n v="4994"/>
  </r>
  <r>
    <n v="12"/>
    <x v="3"/>
    <s v="2017-18"/>
    <n v="258"/>
    <n v="975000"/>
    <n v="195.22"/>
    <n v="5"/>
    <n v="4994"/>
  </r>
  <r>
    <n v="13"/>
    <x v="4"/>
    <s v="2016-17"/>
    <n v="258"/>
    <n v="90000"/>
    <n v="9"/>
    <n v="0.44"/>
    <n v="27659"/>
  </r>
  <r>
    <n v="14"/>
    <x v="4"/>
    <s v="2017-18"/>
    <n v="258"/>
    <n v="93000"/>
    <n v="11"/>
    <n v="0.43"/>
    <n v="2755"/>
  </r>
  <r>
    <n v="15"/>
    <x v="5"/>
    <s v="2015-16"/>
    <n v="258"/>
    <n v="50.74"/>
    <n v="18.440000000000001"/>
    <n v="4907.9320870000001"/>
    <n v="4291.0591480000003"/>
  </r>
  <r>
    <n v="16"/>
    <x v="5"/>
    <s v="2016-17"/>
    <n v="258"/>
    <n v="45.34"/>
    <n v="18.57"/>
    <n v="5628.7791310000002"/>
    <n v="4210.19571"/>
  </r>
  <r>
    <n v="17"/>
    <x v="5"/>
    <s v="2017-18"/>
    <n v="258"/>
    <n v="44.37"/>
    <n v="19.100000000000001"/>
    <n v="5870.0741740000003"/>
    <n v="4237.4673730000004"/>
  </r>
  <r>
    <n v="18"/>
    <x v="6"/>
    <s v="2015-16"/>
    <n v="258"/>
    <n v="67842"/>
    <n v="23"/>
    <n v="8730.16"/>
    <n v="25.94"/>
  </r>
  <r>
    <n v="19"/>
    <x v="6"/>
    <s v="2016-17"/>
    <n v="258"/>
    <n v="58107"/>
    <n v="23.5"/>
    <n v="8730.16"/>
    <n v="33.64"/>
  </r>
  <r>
    <n v="20"/>
    <x v="6"/>
    <s v="2017-18"/>
    <n v="258"/>
    <n v="145447"/>
    <n v="27"/>
    <n v="8730.16"/>
    <n v="26.82"/>
  </r>
  <r>
    <n v="21"/>
    <x v="7"/>
    <s v="2018-19"/>
    <n v="258"/>
    <n v="68000"/>
    <n v="36000"/>
    <n v="8730.16"/>
    <n v="25"/>
  </r>
  <r>
    <n v="22"/>
    <x v="8"/>
    <s v="2015-16"/>
    <n v="258"/>
    <n v="1.41"/>
    <n v="171.64"/>
    <n v="57.47"/>
    <n v="37.549999999999997"/>
  </r>
  <r>
    <n v="23"/>
    <x v="8"/>
    <s v="2016-17"/>
    <n v="258"/>
    <n v="1.22"/>
    <n v="186.67"/>
    <n v="55.73"/>
    <n v="35.22"/>
  </r>
  <r>
    <n v="24"/>
    <x v="8"/>
    <s v="2017-18"/>
    <n v="258"/>
    <n v="1.36"/>
    <n v="186.54"/>
    <n v="57.35"/>
    <n v="34.53"/>
  </r>
  <r>
    <n v="25"/>
    <x v="9"/>
    <s v="2015-16"/>
    <n v="258"/>
    <n v="6738"/>
    <n v="16"/>
    <n v="33.89"/>
    <n v="22.71"/>
  </r>
  <r>
    <n v="26"/>
    <x v="9"/>
    <s v="2016-17"/>
    <n v="258"/>
    <n v="15244"/>
    <n v="16"/>
    <n v="33.33"/>
    <n v="24.08"/>
  </r>
  <r>
    <n v="27"/>
    <x v="9"/>
    <s v="2017-18"/>
    <n v="258"/>
    <n v="43673"/>
    <n v="16"/>
    <n v="32.380000000000003"/>
    <n v="25.74"/>
  </r>
  <r>
    <n v="28"/>
    <x v="10"/>
    <s v="2015-16"/>
    <n v="258"/>
    <n v="150769.95000000001"/>
    <n v="29005"/>
    <n v="8730.16"/>
    <n v="1711.2588020000001"/>
  </r>
  <r>
    <n v="29"/>
    <x v="10"/>
    <s v="2016-17"/>
    <n v="258"/>
    <n v="150769.95000000001"/>
    <n v="29005"/>
    <n v="8730.16"/>
    <n v="1711.2588020000001"/>
  </r>
  <r>
    <n v="30"/>
    <x v="10"/>
    <s v="2017-18"/>
    <n v="258"/>
    <n v="150769.95000000001"/>
    <n v="27855"/>
    <n v="8730.16"/>
    <n v="1711.2588020000001"/>
  </r>
  <r>
    <n v="31"/>
    <x v="11"/>
    <s v="2015-16"/>
    <n v="258"/>
    <n v="90432"/>
    <n v="35"/>
    <n v="39"/>
    <n v="29.02"/>
  </r>
  <r>
    <n v="32"/>
    <x v="11"/>
    <s v="2016-17"/>
    <n v="258"/>
    <n v="88324"/>
    <n v="35"/>
    <n v="42"/>
    <n v="28.54"/>
  </r>
  <r>
    <n v="33"/>
    <x v="11"/>
    <s v="2017-18"/>
    <n v="258"/>
    <n v="64998"/>
    <n v="35"/>
    <n v="45"/>
    <n v="27.79"/>
  </r>
  <r>
    <n v="34"/>
    <x v="12"/>
    <s v="2015-16"/>
    <n v="258"/>
    <n v="7680"/>
    <n v="12000"/>
    <n v="17"/>
    <n v="30"/>
  </r>
  <r>
    <n v="35"/>
    <x v="12"/>
    <s v="2016-17"/>
    <n v="258"/>
    <n v="6960"/>
    <n v="12500"/>
    <n v="17"/>
    <n v="29"/>
  </r>
  <r>
    <n v="36"/>
    <x v="12"/>
    <s v="2017-18"/>
    <n v="258"/>
    <n v="9840"/>
    <n v="10500"/>
    <n v="17"/>
    <n v="30"/>
  </r>
  <r>
    <n v="37"/>
    <x v="13"/>
    <s v="2015-16"/>
    <n v="258"/>
    <n v="70134"/>
    <n v="20000"/>
    <n v="17.53"/>
    <n v="25.52"/>
  </r>
  <r>
    <n v="38"/>
    <x v="13"/>
    <s v="2016-17"/>
    <n v="258"/>
    <n v="88354"/>
    <n v="37400"/>
    <n v="20.54"/>
    <n v="29.95"/>
  </r>
  <r>
    <n v="39"/>
    <x v="13"/>
    <s v="2017-18"/>
    <n v="258"/>
    <n v="155428"/>
    <n v="37400"/>
    <n v="26.94"/>
    <n v="37.68"/>
  </r>
  <r>
    <n v="40"/>
    <x v="14"/>
    <s v="2015-16"/>
    <n v="258"/>
    <n v="35000"/>
    <n v="18.5"/>
    <n v="36"/>
    <n v="36.799999999999997"/>
  </r>
  <r>
    <n v="41"/>
    <x v="14"/>
    <s v="2016-17"/>
    <n v="258"/>
    <n v="38000"/>
    <n v="18.5"/>
    <n v="38"/>
    <n v="37.5"/>
  </r>
  <r>
    <n v="42"/>
    <x v="14"/>
    <s v="2017-18"/>
    <n v="258"/>
    <n v="40000"/>
    <n v="18"/>
    <n v="41"/>
    <n v="39"/>
  </r>
  <r>
    <n v="43"/>
    <x v="15"/>
    <s v="2015-16"/>
    <n v="258"/>
    <n v="11366"/>
    <n v="11649"/>
    <n v="36.049999999999997"/>
    <n v="18.62"/>
  </r>
  <r>
    <n v="44"/>
    <x v="15"/>
    <s v="2016-17"/>
    <n v="258"/>
    <n v="23316"/>
    <n v="18927"/>
    <n v="37"/>
    <n v="18.98"/>
  </r>
  <r>
    <n v="45"/>
    <x v="15"/>
    <s v="2017-18"/>
    <n v="258"/>
    <n v="19216"/>
    <n v="20238"/>
    <n v="39.659999999999997"/>
    <n v="20.92"/>
  </r>
  <r>
    <n v="46"/>
    <x v="16"/>
    <s v="2015-16"/>
    <n v="258"/>
    <n v="180"/>
    <n v="64"/>
    <n v="9"/>
    <n v="90"/>
  </r>
  <r>
    <n v="47"/>
    <x v="16"/>
    <s v="2016-17"/>
    <n v="258"/>
    <n v="180"/>
    <n v="64"/>
    <n v="5"/>
    <n v="80"/>
  </r>
  <r>
    <n v="48"/>
    <x v="16"/>
    <s v="2017-18"/>
    <n v="258"/>
    <n v="160"/>
    <n v="64"/>
    <n v="5"/>
    <n v="70"/>
  </r>
  <r>
    <n v="49"/>
    <x v="17"/>
    <s v="2016-17"/>
    <n v="258"/>
    <n v="5000"/>
    <n v="186"/>
    <n v="49"/>
    <n v="7.54"/>
  </r>
  <r>
    <n v="50"/>
    <x v="17"/>
    <s v="2017-18"/>
    <n v="258"/>
    <n v="6000"/>
    <n v="186"/>
    <n v="49"/>
    <n v="7.54"/>
  </r>
  <r>
    <n v="51"/>
    <x v="18"/>
    <s v="2015-16"/>
    <n v="258"/>
    <n v="270"/>
    <n v="29"/>
    <n v="25.22"/>
    <n v="20.16"/>
  </r>
  <r>
    <n v="52"/>
    <x v="18"/>
    <s v="2016-17"/>
    <n v="258"/>
    <n v="216"/>
    <n v="28"/>
    <n v="24.47"/>
    <n v="17.61"/>
  </r>
  <r>
    <n v="53"/>
    <x v="18"/>
    <s v="2017-18"/>
    <n v="258"/>
    <n v="225"/>
    <n v="30"/>
    <n v="28.2"/>
    <n v="21.62"/>
  </r>
  <r>
    <n v="54"/>
    <x v="19"/>
    <s v="2015-16"/>
    <n v="258"/>
    <n v="545945"/>
    <n v="60"/>
    <n v="34"/>
    <n v="24"/>
  </r>
  <r>
    <n v="55"/>
    <x v="19"/>
    <s v="2016-17"/>
    <n v="258"/>
    <n v="524293"/>
    <n v="62"/>
    <n v="36"/>
    <n v="23"/>
  </r>
  <r>
    <n v="56"/>
    <x v="19"/>
    <s v="2017-18"/>
    <n v="258"/>
    <n v="513562"/>
    <n v="66"/>
    <n v="41"/>
    <n v="27"/>
  </r>
  <r>
    <n v="57"/>
    <x v="20"/>
    <s v="2015-16"/>
    <n v="258"/>
    <n v="158944"/>
    <n v="4257.99"/>
    <n v="8730.16"/>
    <n v="1711.2588020000001"/>
  </r>
  <r>
    <n v="58"/>
    <x v="20"/>
    <s v="2016-17"/>
    <n v="258"/>
    <n v="0"/>
    <n v="4257.99"/>
    <n v="8730.16"/>
    <n v="1711.2588020000001"/>
  </r>
  <r>
    <n v="59"/>
    <x v="20"/>
    <s v="2017-18"/>
    <n v="258"/>
    <n v="256"/>
    <n v="4257.99"/>
    <n v="8730.16"/>
    <n v="1711.2588020000001"/>
  </r>
  <r>
    <n v="60"/>
    <x v="21"/>
    <s v="2015-16"/>
    <n v="258"/>
    <n v="4201"/>
    <n v="5102"/>
    <n v="15"/>
    <n v="26"/>
  </r>
  <r>
    <n v="61"/>
    <x v="21"/>
    <s v="2016-17"/>
    <n v="258"/>
    <n v="7840"/>
    <n v="11198"/>
    <n v="15"/>
    <n v="25"/>
  </r>
  <r>
    <n v="62"/>
    <x v="21"/>
    <s v="2017-18"/>
    <n v="258"/>
    <n v="7851"/>
    <n v="11202"/>
    <n v="15"/>
    <n v="25"/>
  </r>
  <r>
    <n v="63"/>
    <x v="22"/>
    <s v="2015-16"/>
    <n v="258"/>
    <n v="150769.95000000001"/>
    <n v="4257.99"/>
    <n v="8730.16"/>
    <n v="1711.2588020000001"/>
  </r>
  <r>
    <n v="64"/>
    <x v="22"/>
    <s v="2016-17"/>
    <n v="258"/>
    <n v="35838"/>
    <n v="16.5"/>
    <n v="63.62"/>
    <n v="28"/>
  </r>
  <r>
    <n v="65"/>
    <x v="22"/>
    <s v="2017-18"/>
    <n v="258"/>
    <n v="157766"/>
    <n v="14.98"/>
    <n v="59.93"/>
    <n v="24"/>
  </r>
  <r>
    <n v="66"/>
    <x v="23"/>
    <s v="2015-16"/>
    <n v="258"/>
    <n v="90407"/>
    <n v="7.67"/>
    <n v="28.36"/>
    <n v="33.9"/>
  </r>
  <r>
    <n v="67"/>
    <x v="23"/>
    <s v="2016-17"/>
    <n v="258"/>
    <n v="139211"/>
    <n v="7.67"/>
    <n v="29.15"/>
    <n v="35.6"/>
  </r>
  <r>
    <n v="68"/>
    <x v="23"/>
    <s v="2017-18"/>
    <n v="258"/>
    <n v="152093"/>
    <n v="7.67"/>
    <n v="31.94"/>
    <n v="36.909999999999997"/>
  </r>
  <r>
    <n v="69"/>
    <x v="24"/>
    <s v="2015-16"/>
    <n v="258"/>
    <n v="1124328"/>
    <n v="18"/>
    <n v="81.010000000000005"/>
    <n v="67.77"/>
  </r>
  <r>
    <n v="70"/>
    <x v="24"/>
    <s v="2016-17"/>
    <n v="258"/>
    <n v="1079223"/>
    <n v="18"/>
    <n v="85.19"/>
    <n v="65.94"/>
  </r>
  <r>
    <n v="71"/>
    <x v="24"/>
    <s v="2017-18"/>
    <n v="258"/>
    <n v="1089208"/>
    <n v="22"/>
    <n v="76.98"/>
    <n v="58.73"/>
  </r>
  <r>
    <n v="72"/>
    <x v="25"/>
    <s v="2015-16"/>
    <n v="258"/>
    <n v="20600"/>
    <n v="4257.99"/>
    <n v="25.35"/>
    <n v="18.79"/>
  </r>
  <r>
    <n v="73"/>
    <x v="25"/>
    <s v="2016-17"/>
    <n v="258"/>
    <n v="18200"/>
    <n v="4257.99"/>
    <n v="25.36"/>
    <n v="17.96"/>
  </r>
  <r>
    <n v="74"/>
    <x v="25"/>
    <s v="2017-18"/>
    <n v="258"/>
    <n v="17600"/>
    <n v="4257.99"/>
    <n v="26.3"/>
    <n v="18.309999999999999"/>
  </r>
  <r>
    <n v="75"/>
    <x v="26"/>
    <s v="2015-16"/>
    <n v="258"/>
    <n v="1124328"/>
    <n v="18"/>
    <n v="81.010000000000005"/>
    <n v="67.77"/>
  </r>
  <r>
    <n v="76"/>
    <x v="26"/>
    <s v="2016-17"/>
    <n v="258"/>
    <n v="1079223"/>
    <n v="18"/>
    <n v="85.19"/>
    <n v="65.94"/>
  </r>
  <r>
    <n v="77"/>
    <x v="26"/>
    <s v="2017-18"/>
    <n v="258"/>
    <n v="1089208"/>
    <n v="22"/>
    <n v="76.98"/>
    <n v="58.73"/>
  </r>
  <r>
    <n v="78"/>
    <x v="27"/>
    <s v="2015-16"/>
    <n v="258"/>
    <n v="18840"/>
    <n v="11304"/>
    <n v="22608"/>
    <n v="45216"/>
  </r>
  <r>
    <n v="79"/>
    <x v="27"/>
    <s v="2016-17"/>
    <n v="258"/>
    <n v="18840"/>
    <n v="11304"/>
    <n v="22608"/>
    <n v="45216"/>
  </r>
  <r>
    <n v="80"/>
    <x v="27"/>
    <s v="2017-18"/>
    <n v="258"/>
    <n v="18840"/>
    <n v="11304"/>
    <n v="22608"/>
    <n v="45216"/>
  </r>
  <r>
    <n v="81"/>
    <x v="28"/>
    <s v="2015-16"/>
    <n v="258"/>
    <n v="319838"/>
    <n v="21"/>
    <n v="34.529000000000003"/>
    <n v="18.28"/>
  </r>
  <r>
    <n v="82"/>
    <x v="28"/>
    <s v="2016-17"/>
    <n v="258"/>
    <n v="324463"/>
    <n v="21"/>
    <n v="38.456000000000003"/>
    <n v="18.27"/>
  </r>
  <r>
    <n v="83"/>
    <x v="28"/>
    <s v="2017-18"/>
    <n v="258"/>
    <n v="325992"/>
    <n v="21"/>
    <n v="45.095999999999997"/>
    <n v="20.49"/>
  </r>
  <r>
    <n v="84"/>
    <x v="29"/>
    <s v="2015-16"/>
    <n v="258"/>
    <n v="40"/>
    <n v="30"/>
    <n v="83"/>
    <n v="40"/>
  </r>
  <r>
    <n v="85"/>
    <x v="29"/>
    <s v="2016-17"/>
    <n v="258"/>
    <n v="35"/>
    <n v="25"/>
    <n v="75"/>
    <n v="35"/>
  </r>
  <r>
    <n v="86"/>
    <x v="29"/>
    <s v="2017-18"/>
    <n v="258"/>
    <n v="30"/>
    <n v="20"/>
    <n v="75"/>
    <n v="35"/>
  </r>
  <r>
    <n v="87"/>
    <x v="30"/>
    <s v="2015-16"/>
    <n v="258"/>
    <n v="150769.95000000001"/>
    <n v="4257.99"/>
    <n v="8730.16"/>
    <n v="1711.2588020000001"/>
  </r>
  <r>
    <n v="88"/>
    <x v="30"/>
    <s v="2016-17"/>
    <n v="258"/>
    <n v="6200"/>
    <n v="190"/>
    <n v="31.2"/>
    <n v="18"/>
  </r>
  <r>
    <n v="89"/>
    <x v="30"/>
    <s v="2017-18"/>
    <n v="258"/>
    <n v="8800"/>
    <n v="210"/>
    <n v="32.85"/>
    <n v="22"/>
  </r>
  <r>
    <n v="90"/>
    <x v="31"/>
    <s v="2015-16"/>
    <n v="258"/>
    <n v="1705"/>
    <n v="1012"/>
    <n v="32"/>
    <n v="10"/>
  </r>
  <r>
    <n v="91"/>
    <x v="31"/>
    <s v="2016-17"/>
    <n v="258"/>
    <n v="1631"/>
    <n v="1044"/>
    <n v="36"/>
    <n v="12"/>
  </r>
  <r>
    <n v="92"/>
    <x v="31"/>
    <s v="2017-18"/>
    <n v="258"/>
    <n v="1525"/>
    <n v="1002"/>
    <n v="42"/>
    <n v="10"/>
  </r>
  <r>
    <n v="93"/>
    <x v="32"/>
    <s v="2015-16"/>
    <n v="258"/>
    <n v="72180"/>
    <n v="300"/>
    <n v="55"/>
    <n v="26"/>
  </r>
  <r>
    <n v="94"/>
    <x v="32"/>
    <s v="2016-17"/>
    <n v="258"/>
    <n v="30363"/>
    <n v="250"/>
    <n v="49"/>
    <n v="28"/>
  </r>
  <r>
    <n v="95"/>
    <x v="32"/>
    <s v="2017-18"/>
    <n v="258"/>
    <n v="22121"/>
    <n v="225"/>
    <n v="48"/>
    <n v="23"/>
  </r>
  <r>
    <n v="96"/>
    <x v="33"/>
    <s v="2015-16"/>
    <n v="258"/>
    <n v="8709"/>
    <n v="4.3"/>
    <n v="38.090000000000003"/>
    <n v="8.2899999999999991"/>
  </r>
  <r>
    <n v="97"/>
    <x v="33"/>
    <s v="2016-17"/>
    <n v="258"/>
    <n v="82266"/>
    <n v="6"/>
    <n v="35.97"/>
    <n v="14.55"/>
  </r>
  <r>
    <n v="98"/>
    <x v="33"/>
    <s v="2017-18"/>
    <n v="258"/>
    <n v="80077"/>
    <n v="5.9"/>
    <n v="36.32"/>
    <n v="12.45"/>
  </r>
  <r>
    <n v="99"/>
    <x v="34"/>
    <s v="2015-16"/>
    <n v="258"/>
    <n v="85000"/>
    <n v="30"/>
    <n v="31"/>
    <n v="23"/>
  </r>
  <r>
    <n v="100"/>
    <x v="34"/>
    <s v="2016-17"/>
    <n v="258"/>
    <n v="80000"/>
    <n v="30"/>
    <n v="35"/>
    <n v="24"/>
  </r>
  <r>
    <n v="101"/>
    <x v="34"/>
    <s v="2017-18"/>
    <n v="258"/>
    <n v="76000"/>
    <n v="32"/>
    <n v="40"/>
    <n v="29"/>
  </r>
  <r>
    <n v="102"/>
    <x v="35"/>
    <s v="2015-16"/>
    <n v="258"/>
    <n v="332453"/>
    <n v="22.42"/>
    <n v="30.36"/>
    <n v="27.91"/>
  </r>
  <r>
    <n v="103"/>
    <x v="35"/>
    <s v="2016-17"/>
    <n v="258"/>
    <n v="329111"/>
    <n v="23.03"/>
    <n v="33.880000000000003"/>
    <n v="31.55"/>
  </r>
  <r>
    <n v="104"/>
    <x v="35"/>
    <s v="2017-18"/>
    <n v="258"/>
    <n v="263254"/>
    <n v="28.81"/>
    <n v="38.43"/>
    <n v="34.450000000000003"/>
  </r>
  <r>
    <n v="105"/>
    <x v="36"/>
    <s v="2015-16"/>
    <n v="258"/>
    <n v="96000"/>
    <n v="35"/>
    <n v="0.55000000000000004"/>
    <n v="19.05"/>
  </r>
  <r>
    <n v="106"/>
    <x v="36"/>
    <s v="2016-17"/>
    <n v="258"/>
    <n v="96640"/>
    <n v="35"/>
    <n v="0.57999999999999996"/>
    <n v="21.78"/>
  </r>
  <r>
    <n v="107"/>
    <x v="36"/>
    <s v="2017-18"/>
    <n v="258"/>
    <n v="96640"/>
    <n v="35"/>
    <n v="0.57999999999999996"/>
    <n v="27.61"/>
  </r>
  <r>
    <n v="108"/>
    <x v="37"/>
    <s v="2015-16"/>
    <n v="258"/>
    <n v="36000"/>
    <n v="11.87"/>
    <n v="119.7"/>
    <n v="90"/>
  </r>
  <r>
    <n v="109"/>
    <x v="37"/>
    <s v="2016-17"/>
    <n v="258"/>
    <n v="150769.95000000001"/>
    <n v="4257.99"/>
    <n v="8730.16"/>
    <n v="1711.2588020000001"/>
  </r>
  <r>
    <n v="110"/>
    <x v="37"/>
    <s v="2017-18"/>
    <n v="258"/>
    <n v="150769.95000000001"/>
    <n v="4257.99"/>
    <n v="8730.16"/>
    <n v="1711.2588020000001"/>
  </r>
  <r>
    <n v="111"/>
    <x v="38"/>
    <s v="2015-16"/>
    <n v="258"/>
    <n v="160000"/>
    <n v="4257.99"/>
    <n v="28.86"/>
    <n v="19.920000000000002"/>
  </r>
  <r>
    <n v="112"/>
    <x v="38"/>
    <s v="2016-17"/>
    <n v="258"/>
    <n v="166000"/>
    <n v="4257.99"/>
    <n v="31.13"/>
    <n v="20.51"/>
  </r>
  <r>
    <n v="113"/>
    <x v="38"/>
    <s v="2017-18"/>
    <n v="258"/>
    <n v="175000"/>
    <n v="4257.99"/>
    <n v="38.78"/>
    <n v="22.8"/>
  </r>
  <r>
    <n v="114"/>
    <x v="39"/>
    <s v="2015-16"/>
    <n v="258"/>
    <n v="45000"/>
    <n v="13750"/>
    <n v="18"/>
    <n v="12"/>
  </r>
  <r>
    <n v="115"/>
    <x v="39"/>
    <s v="2016-17"/>
    <n v="258"/>
    <n v="45000"/>
    <n v="13750"/>
    <n v="19"/>
    <n v="14"/>
  </r>
  <r>
    <n v="116"/>
    <x v="39"/>
    <s v="2017-18"/>
    <n v="258"/>
    <n v="115000"/>
    <n v="30000"/>
    <n v="28"/>
    <n v="30"/>
  </r>
  <r>
    <n v="117"/>
    <x v="40"/>
    <s v="2015-16"/>
    <n v="258"/>
    <n v="15068"/>
    <n v="38.200000000000003"/>
    <n v="21.33"/>
    <n v="20.07"/>
  </r>
  <r>
    <n v="118"/>
    <x v="40"/>
    <s v="2016-17"/>
    <n v="258"/>
    <n v="13205"/>
    <n v="38.380000000000003"/>
    <n v="22.37"/>
    <n v="21.1"/>
  </r>
  <r>
    <n v="119"/>
    <x v="40"/>
    <s v="2017-18"/>
    <n v="258"/>
    <n v="12792"/>
    <n v="37.119999999999997"/>
    <n v="23.46"/>
    <n v="20.010000000000002"/>
  </r>
  <r>
    <n v="120"/>
    <x v="41"/>
    <s v="2015-16"/>
    <n v="258"/>
    <n v="269257"/>
    <n v="20"/>
    <n v="39.56"/>
    <n v="34.869999999999997"/>
  </r>
  <r>
    <n v="121"/>
    <x v="41"/>
    <s v="2016-17"/>
    <n v="258"/>
    <n v="279798"/>
    <n v="20"/>
    <n v="42.87"/>
    <n v="36.590000000000003"/>
  </r>
  <r>
    <n v="122"/>
    <x v="41"/>
    <s v="2017-18"/>
    <n v="258"/>
    <n v="304848"/>
    <n v="20"/>
    <n v="43.92"/>
    <n v="40.21"/>
  </r>
  <r>
    <n v="123"/>
    <x v="42"/>
    <s v="2015-16"/>
    <n v="258"/>
    <n v="8.2200000000000006"/>
    <n v="3.53"/>
    <n v="33.5"/>
    <n v="31.11"/>
  </r>
  <r>
    <n v="124"/>
    <x v="42"/>
    <s v="2016-17"/>
    <n v="258"/>
    <n v="8.32"/>
    <n v="3.65"/>
    <n v="33.81"/>
    <n v="31.03"/>
  </r>
  <r>
    <n v="125"/>
    <x v="42"/>
    <s v="2017-18"/>
    <n v="258"/>
    <n v="9.5399999999999991"/>
    <n v="3.85"/>
    <n v="34.58"/>
    <n v="33.5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25">
  <r>
    <n v="1"/>
    <x v="0"/>
    <s v="2015-16"/>
    <n v="245"/>
    <n v="20222"/>
    <n v="16546"/>
    <n v="301632"/>
    <n v="18.23"/>
  </r>
  <r>
    <n v="2"/>
    <x v="0"/>
    <s v="2016-17"/>
    <n v="258"/>
    <n v="16392"/>
    <n v="15030"/>
    <n v="273793"/>
    <n v="18.22"/>
  </r>
  <r>
    <n v="3"/>
    <x v="0"/>
    <s v="2017-18"/>
    <n v="258"/>
    <n v="16742"/>
    <n v="16408"/>
    <n v="305810"/>
    <n v="18.399999999999999"/>
  </r>
  <r>
    <n v="4"/>
    <x v="1"/>
    <s v="2015-16"/>
    <n v="258"/>
    <n v="200"/>
    <n v="45"/>
    <n v="5"/>
    <n v="5"/>
  </r>
  <r>
    <n v="5"/>
    <x v="1"/>
    <s v="2016-17"/>
    <n v="258"/>
    <n v="200"/>
    <n v="45"/>
    <n v="5"/>
    <n v="5"/>
  </r>
  <r>
    <n v="6"/>
    <x v="1"/>
    <s v="2017-18"/>
    <n v="258"/>
    <n v="200"/>
    <n v="45"/>
    <n v="5"/>
    <n v="5"/>
  </r>
  <r>
    <n v="7"/>
    <x v="2"/>
    <s v="2015-16"/>
    <n v="258"/>
    <n v="17551"/>
    <n v="11.41"/>
    <n v="32.79"/>
    <n v="28.18"/>
  </r>
  <r>
    <n v="8"/>
    <x v="2"/>
    <s v="2016-17"/>
    <n v="258"/>
    <n v="15975"/>
    <n v="9.7799999999999994"/>
    <n v="36.840000000000003"/>
    <n v="25.6"/>
  </r>
  <r>
    <n v="9"/>
    <x v="2"/>
    <s v="2017-18"/>
    <n v="258"/>
    <n v="14186"/>
    <n v="8.9"/>
    <n v="37.17"/>
    <n v="27.57"/>
  </r>
  <r>
    <n v="10"/>
    <x v="3"/>
    <s v="2015-16"/>
    <n v="258"/>
    <n v="975000"/>
    <n v="195.22"/>
    <n v="5"/>
    <n v="4994"/>
  </r>
  <r>
    <n v="11"/>
    <x v="3"/>
    <s v="2016-17"/>
    <n v="258"/>
    <n v="975000"/>
    <n v="195.22"/>
    <n v="5"/>
    <n v="4994"/>
  </r>
  <r>
    <n v="12"/>
    <x v="3"/>
    <s v="2017-18"/>
    <n v="258"/>
    <n v="975000"/>
    <n v="195.22"/>
    <n v="5"/>
    <n v="4994"/>
  </r>
  <r>
    <n v="13"/>
    <x v="4"/>
    <s v="2016-17"/>
    <n v="258"/>
    <n v="90000"/>
    <n v="9"/>
    <n v="0.44"/>
    <n v="27659"/>
  </r>
  <r>
    <n v="14"/>
    <x v="4"/>
    <s v="2017-18"/>
    <n v="258"/>
    <n v="93000"/>
    <n v="11"/>
    <n v="0.43"/>
    <n v="2755"/>
  </r>
  <r>
    <n v="15"/>
    <x v="5"/>
    <s v="2015-16"/>
    <n v="258"/>
    <n v="50.74"/>
    <n v="18.440000000000001"/>
    <n v="4907.9320870000001"/>
    <n v="4291.0591480000003"/>
  </r>
  <r>
    <n v="16"/>
    <x v="5"/>
    <s v="2016-17"/>
    <n v="258"/>
    <n v="45.34"/>
    <n v="18.57"/>
    <n v="5628.7791310000002"/>
    <n v="4210.19571"/>
  </r>
  <r>
    <n v="17"/>
    <x v="5"/>
    <s v="2017-18"/>
    <n v="258"/>
    <n v="44.37"/>
    <n v="19.100000000000001"/>
    <n v="5870.0741740000003"/>
    <n v="4237.4673730000004"/>
  </r>
  <r>
    <n v="18"/>
    <x v="6"/>
    <s v="2015-16"/>
    <n v="258"/>
    <n v="67842"/>
    <n v="23"/>
    <n v="8730.16"/>
    <n v="25.94"/>
  </r>
  <r>
    <n v="19"/>
    <x v="6"/>
    <s v="2016-17"/>
    <n v="258"/>
    <n v="58107"/>
    <n v="23.5"/>
    <n v="8730.16"/>
    <n v="33.64"/>
  </r>
  <r>
    <n v="20"/>
    <x v="6"/>
    <s v="2017-18"/>
    <n v="258"/>
    <n v="145447"/>
    <n v="27"/>
    <n v="8730.16"/>
    <n v="26.82"/>
  </r>
  <r>
    <n v="21"/>
    <x v="7"/>
    <s v="2018-19"/>
    <n v="258"/>
    <n v="68000"/>
    <n v="36000"/>
    <n v="8730.16"/>
    <n v="25"/>
  </r>
  <r>
    <n v="22"/>
    <x v="8"/>
    <s v="2015-16"/>
    <n v="258"/>
    <n v="1.41"/>
    <n v="171.64"/>
    <n v="57.47"/>
    <n v="37.549999999999997"/>
  </r>
  <r>
    <n v="23"/>
    <x v="8"/>
    <s v="2016-17"/>
    <n v="258"/>
    <n v="1.22"/>
    <n v="186.67"/>
    <n v="55.73"/>
    <n v="35.22"/>
  </r>
  <r>
    <n v="24"/>
    <x v="8"/>
    <s v="2017-18"/>
    <n v="258"/>
    <n v="1.36"/>
    <n v="186.54"/>
    <n v="57.35"/>
    <n v="34.53"/>
  </r>
  <r>
    <n v="25"/>
    <x v="9"/>
    <s v="2015-16"/>
    <n v="258"/>
    <n v="6738"/>
    <n v="16"/>
    <n v="33.89"/>
    <n v="22.71"/>
  </r>
  <r>
    <n v="26"/>
    <x v="9"/>
    <s v="2016-17"/>
    <n v="258"/>
    <n v="15244"/>
    <n v="16"/>
    <n v="33.33"/>
    <n v="24.08"/>
  </r>
  <r>
    <n v="27"/>
    <x v="9"/>
    <s v="2017-18"/>
    <n v="258"/>
    <n v="43673"/>
    <n v="16"/>
    <n v="32.380000000000003"/>
    <n v="25.74"/>
  </r>
  <r>
    <n v="28"/>
    <x v="10"/>
    <s v="2015-16"/>
    <n v="258"/>
    <n v="150769.95000000001"/>
    <n v="29005"/>
    <n v="8730.16"/>
    <n v="1711.2588020000001"/>
  </r>
  <r>
    <n v="29"/>
    <x v="10"/>
    <s v="2016-17"/>
    <n v="258"/>
    <n v="150769.95000000001"/>
    <n v="29005"/>
    <n v="8730.16"/>
    <n v="1711.2588020000001"/>
  </r>
  <r>
    <n v="30"/>
    <x v="10"/>
    <s v="2017-18"/>
    <n v="258"/>
    <n v="150769.95000000001"/>
    <n v="27855"/>
    <n v="8730.16"/>
    <n v="1711.2588020000001"/>
  </r>
  <r>
    <n v="31"/>
    <x v="11"/>
    <s v="2015-16"/>
    <n v="258"/>
    <n v="90432"/>
    <n v="35"/>
    <n v="39"/>
    <n v="29.02"/>
  </r>
  <r>
    <n v="32"/>
    <x v="11"/>
    <s v="2016-17"/>
    <n v="258"/>
    <n v="88324"/>
    <n v="35"/>
    <n v="42"/>
    <n v="28.54"/>
  </r>
  <r>
    <n v="33"/>
    <x v="11"/>
    <s v="2017-18"/>
    <n v="258"/>
    <n v="64998"/>
    <n v="35"/>
    <n v="45"/>
    <n v="27.79"/>
  </r>
  <r>
    <n v="34"/>
    <x v="12"/>
    <s v="2015-16"/>
    <n v="258"/>
    <n v="7680"/>
    <n v="12000"/>
    <n v="17"/>
    <n v="30"/>
  </r>
  <r>
    <n v="35"/>
    <x v="12"/>
    <s v="2016-17"/>
    <n v="258"/>
    <n v="6960"/>
    <n v="12500"/>
    <n v="17"/>
    <n v="29"/>
  </r>
  <r>
    <n v="36"/>
    <x v="12"/>
    <s v="2017-18"/>
    <n v="258"/>
    <n v="9840"/>
    <n v="10500"/>
    <n v="17"/>
    <n v="30"/>
  </r>
  <r>
    <n v="37"/>
    <x v="13"/>
    <s v="2015-16"/>
    <n v="258"/>
    <n v="70134"/>
    <n v="20000"/>
    <n v="17.53"/>
    <n v="25.52"/>
  </r>
  <r>
    <n v="38"/>
    <x v="13"/>
    <s v="2016-17"/>
    <n v="258"/>
    <n v="88354"/>
    <n v="37400"/>
    <n v="20.54"/>
    <n v="29.95"/>
  </r>
  <r>
    <n v="39"/>
    <x v="13"/>
    <s v="2017-18"/>
    <n v="258"/>
    <n v="155428"/>
    <n v="37400"/>
    <n v="26.94"/>
    <n v="37.68"/>
  </r>
  <r>
    <n v="40"/>
    <x v="14"/>
    <s v="2015-16"/>
    <n v="258"/>
    <n v="35000"/>
    <n v="18.5"/>
    <n v="36"/>
    <n v="36.799999999999997"/>
  </r>
  <r>
    <n v="41"/>
    <x v="14"/>
    <s v="2016-17"/>
    <n v="258"/>
    <n v="38000"/>
    <n v="18.5"/>
    <n v="38"/>
    <n v="37.5"/>
  </r>
  <r>
    <n v="42"/>
    <x v="14"/>
    <s v="2017-18"/>
    <n v="258"/>
    <n v="40000"/>
    <n v="18"/>
    <n v="41"/>
    <n v="39"/>
  </r>
  <r>
    <n v="43"/>
    <x v="15"/>
    <s v="2015-16"/>
    <n v="258"/>
    <n v="11366"/>
    <n v="11649"/>
    <n v="36.049999999999997"/>
    <n v="18.62"/>
  </r>
  <r>
    <n v="44"/>
    <x v="15"/>
    <s v="2016-17"/>
    <n v="258"/>
    <n v="23316"/>
    <n v="18927"/>
    <n v="37"/>
    <n v="18.98"/>
  </r>
  <r>
    <n v="45"/>
    <x v="15"/>
    <s v="2017-18"/>
    <n v="258"/>
    <n v="19216"/>
    <n v="20238"/>
    <n v="39.659999999999997"/>
    <n v="20.92"/>
  </r>
  <r>
    <n v="46"/>
    <x v="16"/>
    <s v="2015-16"/>
    <n v="258"/>
    <n v="180"/>
    <n v="64"/>
    <n v="9"/>
    <n v="90"/>
  </r>
  <r>
    <n v="47"/>
    <x v="16"/>
    <s v="2016-17"/>
    <n v="258"/>
    <n v="180"/>
    <n v="64"/>
    <n v="5"/>
    <n v="80"/>
  </r>
  <r>
    <n v="48"/>
    <x v="16"/>
    <s v="2017-18"/>
    <n v="258"/>
    <n v="160"/>
    <n v="64"/>
    <n v="5"/>
    <n v="70"/>
  </r>
  <r>
    <n v="49"/>
    <x v="17"/>
    <s v="2016-17"/>
    <n v="258"/>
    <n v="5000"/>
    <n v="186"/>
    <n v="49"/>
    <n v="7.54"/>
  </r>
  <r>
    <n v="50"/>
    <x v="17"/>
    <s v="2017-18"/>
    <n v="258"/>
    <n v="6000"/>
    <n v="186"/>
    <n v="49"/>
    <n v="7.54"/>
  </r>
  <r>
    <n v="51"/>
    <x v="18"/>
    <s v="2015-16"/>
    <n v="258"/>
    <n v="270"/>
    <n v="29"/>
    <n v="25.22"/>
    <n v="20.16"/>
  </r>
  <r>
    <n v="52"/>
    <x v="18"/>
    <s v="2016-17"/>
    <n v="258"/>
    <n v="216"/>
    <n v="28"/>
    <n v="24.47"/>
    <n v="17.61"/>
  </r>
  <r>
    <n v="53"/>
    <x v="18"/>
    <s v="2017-18"/>
    <n v="258"/>
    <n v="225"/>
    <n v="30"/>
    <n v="28.2"/>
    <n v="21.62"/>
  </r>
  <r>
    <n v="54"/>
    <x v="19"/>
    <s v="2015-16"/>
    <n v="258"/>
    <n v="545945"/>
    <n v="60"/>
    <n v="34"/>
    <n v="24"/>
  </r>
  <r>
    <n v="55"/>
    <x v="19"/>
    <s v="2016-17"/>
    <n v="258"/>
    <n v="524293"/>
    <n v="62"/>
    <n v="36"/>
    <n v="23"/>
  </r>
  <r>
    <n v="56"/>
    <x v="19"/>
    <s v="2017-18"/>
    <n v="258"/>
    <n v="513562"/>
    <n v="66"/>
    <n v="41"/>
    <n v="27"/>
  </r>
  <r>
    <n v="57"/>
    <x v="20"/>
    <s v="2015-16"/>
    <n v="258"/>
    <n v="158944"/>
    <n v="4257.99"/>
    <n v="8730.16"/>
    <n v="1711.2588020000001"/>
  </r>
  <r>
    <n v="58"/>
    <x v="20"/>
    <s v="2016-17"/>
    <n v="258"/>
    <n v="0"/>
    <n v="4257.99"/>
    <n v="8730.16"/>
    <n v="1711.2588020000001"/>
  </r>
  <r>
    <n v="59"/>
    <x v="20"/>
    <s v="2017-18"/>
    <n v="258"/>
    <n v="256"/>
    <n v="4257.99"/>
    <n v="8730.16"/>
    <n v="1711.2588020000001"/>
  </r>
  <r>
    <n v="60"/>
    <x v="21"/>
    <s v="2015-16"/>
    <n v="258"/>
    <n v="4201"/>
    <n v="5102"/>
    <n v="15"/>
    <n v="26"/>
  </r>
  <r>
    <n v="61"/>
    <x v="21"/>
    <s v="2016-17"/>
    <n v="258"/>
    <n v="7840"/>
    <n v="11198"/>
    <n v="15"/>
    <n v="25"/>
  </r>
  <r>
    <n v="62"/>
    <x v="21"/>
    <s v="2017-18"/>
    <n v="258"/>
    <n v="7851"/>
    <n v="11202"/>
    <n v="15"/>
    <n v="25"/>
  </r>
  <r>
    <n v="63"/>
    <x v="22"/>
    <s v="2015-16"/>
    <n v="258"/>
    <n v="150769.95000000001"/>
    <n v="4257.99"/>
    <n v="8730.16"/>
    <n v="1711.2588020000001"/>
  </r>
  <r>
    <n v="64"/>
    <x v="22"/>
    <s v="2016-17"/>
    <n v="258"/>
    <n v="35838"/>
    <n v="16.5"/>
    <n v="63.62"/>
    <n v="28"/>
  </r>
  <r>
    <n v="65"/>
    <x v="22"/>
    <s v="2017-18"/>
    <n v="258"/>
    <n v="157766"/>
    <n v="14.98"/>
    <n v="59.93"/>
    <n v="24"/>
  </r>
  <r>
    <n v="66"/>
    <x v="23"/>
    <s v="2015-16"/>
    <n v="258"/>
    <n v="90407"/>
    <n v="7.67"/>
    <n v="28.36"/>
    <n v="33.9"/>
  </r>
  <r>
    <n v="67"/>
    <x v="23"/>
    <s v="2016-17"/>
    <n v="258"/>
    <n v="139211"/>
    <n v="7.67"/>
    <n v="29.15"/>
    <n v="35.6"/>
  </r>
  <r>
    <n v="68"/>
    <x v="23"/>
    <s v="2017-18"/>
    <n v="258"/>
    <n v="152093"/>
    <n v="7.67"/>
    <n v="31.94"/>
    <n v="36.909999999999997"/>
  </r>
  <r>
    <n v="69"/>
    <x v="24"/>
    <s v="2015-16"/>
    <n v="258"/>
    <n v="1124328"/>
    <n v="18"/>
    <n v="81.010000000000005"/>
    <n v="67.77"/>
  </r>
  <r>
    <n v="70"/>
    <x v="24"/>
    <s v="2016-17"/>
    <n v="258"/>
    <n v="1079223"/>
    <n v="18"/>
    <n v="85.19"/>
    <n v="65.94"/>
  </r>
  <r>
    <n v="71"/>
    <x v="24"/>
    <s v="2017-18"/>
    <n v="258"/>
    <n v="1089208"/>
    <n v="22"/>
    <n v="76.98"/>
    <n v="58.73"/>
  </r>
  <r>
    <n v="72"/>
    <x v="25"/>
    <s v="2015-16"/>
    <n v="258"/>
    <n v="20600"/>
    <n v="4257.99"/>
    <n v="25.35"/>
    <n v="18.79"/>
  </r>
  <r>
    <n v="73"/>
    <x v="25"/>
    <s v="2016-17"/>
    <n v="258"/>
    <n v="18200"/>
    <n v="4257.99"/>
    <n v="25.36"/>
    <n v="17.96"/>
  </r>
  <r>
    <n v="74"/>
    <x v="25"/>
    <s v="2017-18"/>
    <n v="258"/>
    <n v="17600"/>
    <n v="4257.99"/>
    <n v="26.3"/>
    <n v="18.309999999999999"/>
  </r>
  <r>
    <n v="75"/>
    <x v="26"/>
    <s v="2015-16"/>
    <n v="258"/>
    <n v="1124328"/>
    <n v="18"/>
    <n v="81.010000000000005"/>
    <n v="67.77"/>
  </r>
  <r>
    <n v="76"/>
    <x v="26"/>
    <s v="2016-17"/>
    <n v="258"/>
    <n v="1079223"/>
    <n v="18"/>
    <n v="85.19"/>
    <n v="65.94"/>
  </r>
  <r>
    <n v="77"/>
    <x v="26"/>
    <s v="2017-18"/>
    <n v="258"/>
    <n v="1089208"/>
    <n v="22"/>
    <n v="76.98"/>
    <n v="58.73"/>
  </r>
  <r>
    <n v="78"/>
    <x v="27"/>
    <s v="2015-16"/>
    <n v="258"/>
    <n v="18840"/>
    <n v="11304"/>
    <n v="22608"/>
    <n v="45216"/>
  </r>
  <r>
    <n v="79"/>
    <x v="27"/>
    <s v="2016-17"/>
    <n v="258"/>
    <n v="18840"/>
    <n v="11304"/>
    <n v="22608"/>
    <n v="45216"/>
  </r>
  <r>
    <n v="80"/>
    <x v="27"/>
    <s v="2017-18"/>
    <n v="258"/>
    <n v="18840"/>
    <n v="11304"/>
    <n v="22608"/>
    <n v="45216"/>
  </r>
  <r>
    <n v="81"/>
    <x v="28"/>
    <s v="2015-16"/>
    <n v="258"/>
    <n v="319838"/>
    <n v="21"/>
    <n v="34.529000000000003"/>
    <n v="18.28"/>
  </r>
  <r>
    <n v="82"/>
    <x v="28"/>
    <s v="2016-17"/>
    <n v="258"/>
    <n v="324463"/>
    <n v="21"/>
    <n v="38.456000000000003"/>
    <n v="18.27"/>
  </r>
  <r>
    <n v="83"/>
    <x v="28"/>
    <s v="2017-18"/>
    <n v="258"/>
    <n v="325992"/>
    <n v="21"/>
    <n v="45.095999999999997"/>
    <n v="20.49"/>
  </r>
  <r>
    <n v="84"/>
    <x v="29"/>
    <s v="2015-16"/>
    <n v="258"/>
    <n v="40"/>
    <n v="30"/>
    <n v="83"/>
    <n v="40"/>
  </r>
  <r>
    <n v="85"/>
    <x v="29"/>
    <s v="2016-17"/>
    <n v="258"/>
    <n v="35"/>
    <n v="25"/>
    <n v="75"/>
    <n v="35"/>
  </r>
  <r>
    <n v="86"/>
    <x v="29"/>
    <s v="2017-18"/>
    <n v="258"/>
    <n v="30"/>
    <n v="20"/>
    <n v="75"/>
    <n v="35"/>
  </r>
  <r>
    <n v="87"/>
    <x v="30"/>
    <s v="2015-16"/>
    <n v="258"/>
    <n v="150769.95000000001"/>
    <n v="4257.99"/>
    <n v="8730.16"/>
    <n v="1711.2588020000001"/>
  </r>
  <r>
    <n v="88"/>
    <x v="30"/>
    <s v="2016-17"/>
    <n v="258"/>
    <n v="6200"/>
    <n v="190"/>
    <n v="31.2"/>
    <n v="18"/>
  </r>
  <r>
    <n v="89"/>
    <x v="30"/>
    <s v="2017-18"/>
    <n v="258"/>
    <n v="8800"/>
    <n v="210"/>
    <n v="32.85"/>
    <n v="22"/>
  </r>
  <r>
    <n v="90"/>
    <x v="31"/>
    <s v="2015-16"/>
    <n v="258"/>
    <n v="1705"/>
    <n v="1012"/>
    <n v="32"/>
    <n v="10"/>
  </r>
  <r>
    <n v="91"/>
    <x v="31"/>
    <s v="2016-17"/>
    <n v="258"/>
    <n v="1631"/>
    <n v="1044"/>
    <n v="36"/>
    <n v="12"/>
  </r>
  <r>
    <n v="92"/>
    <x v="31"/>
    <s v="2017-18"/>
    <n v="258"/>
    <n v="1525"/>
    <n v="1002"/>
    <n v="42"/>
    <n v="10"/>
  </r>
  <r>
    <n v="93"/>
    <x v="32"/>
    <s v="2015-16"/>
    <n v="258"/>
    <n v="72180"/>
    <n v="300"/>
    <n v="55"/>
    <n v="26"/>
  </r>
  <r>
    <n v="94"/>
    <x v="32"/>
    <s v="2016-17"/>
    <n v="258"/>
    <n v="30363"/>
    <n v="250"/>
    <n v="49"/>
    <n v="28"/>
  </r>
  <r>
    <n v="95"/>
    <x v="32"/>
    <s v="2017-18"/>
    <n v="258"/>
    <n v="22121"/>
    <n v="225"/>
    <n v="48"/>
    <n v="23"/>
  </r>
  <r>
    <n v="96"/>
    <x v="33"/>
    <s v="2015-16"/>
    <n v="258"/>
    <n v="8709"/>
    <n v="4.3"/>
    <n v="38.090000000000003"/>
    <n v="8.2899999999999991"/>
  </r>
  <r>
    <n v="97"/>
    <x v="33"/>
    <s v="2016-17"/>
    <n v="258"/>
    <n v="82266"/>
    <n v="6"/>
    <n v="35.97"/>
    <n v="14.55"/>
  </r>
  <r>
    <n v="98"/>
    <x v="33"/>
    <s v="2017-18"/>
    <n v="258"/>
    <n v="80077"/>
    <n v="5.9"/>
    <n v="36.32"/>
    <n v="12.45"/>
  </r>
  <r>
    <n v="99"/>
    <x v="34"/>
    <s v="2015-16"/>
    <n v="258"/>
    <n v="85000"/>
    <n v="30"/>
    <n v="31"/>
    <n v="23"/>
  </r>
  <r>
    <n v="100"/>
    <x v="34"/>
    <s v="2016-17"/>
    <n v="258"/>
    <n v="80000"/>
    <n v="30"/>
    <n v="35"/>
    <n v="24"/>
  </r>
  <r>
    <n v="101"/>
    <x v="34"/>
    <s v="2017-18"/>
    <n v="258"/>
    <n v="76000"/>
    <n v="32"/>
    <n v="40"/>
    <n v="29"/>
  </r>
  <r>
    <n v="102"/>
    <x v="35"/>
    <s v="2015-16"/>
    <n v="258"/>
    <n v="332453"/>
    <n v="22.42"/>
    <n v="30.36"/>
    <n v="27.91"/>
  </r>
  <r>
    <n v="103"/>
    <x v="35"/>
    <s v="2016-17"/>
    <n v="258"/>
    <n v="329111"/>
    <n v="23.03"/>
    <n v="33.880000000000003"/>
    <n v="31.55"/>
  </r>
  <r>
    <n v="104"/>
    <x v="35"/>
    <s v="2017-18"/>
    <n v="258"/>
    <n v="263254"/>
    <n v="28.81"/>
    <n v="38.43"/>
    <n v="34.450000000000003"/>
  </r>
  <r>
    <n v="105"/>
    <x v="36"/>
    <s v="2015-16"/>
    <n v="258"/>
    <n v="96000"/>
    <n v="35"/>
    <n v="0.55000000000000004"/>
    <n v="19.05"/>
  </r>
  <r>
    <n v="106"/>
    <x v="36"/>
    <s v="2016-17"/>
    <n v="258"/>
    <n v="96640"/>
    <n v="35"/>
    <n v="0.57999999999999996"/>
    <n v="21.78"/>
  </r>
  <r>
    <n v="107"/>
    <x v="36"/>
    <s v="2017-18"/>
    <n v="258"/>
    <n v="96640"/>
    <n v="35"/>
    <n v="0.57999999999999996"/>
    <n v="27.61"/>
  </r>
  <r>
    <n v="108"/>
    <x v="37"/>
    <s v="2015-16"/>
    <n v="258"/>
    <n v="36000"/>
    <n v="11.87"/>
    <n v="119.7"/>
    <n v="90"/>
  </r>
  <r>
    <n v="109"/>
    <x v="37"/>
    <s v="2016-17"/>
    <n v="258"/>
    <n v="150769.95000000001"/>
    <n v="4257.99"/>
    <n v="8730.16"/>
    <n v="1711.2588020000001"/>
  </r>
  <r>
    <n v="110"/>
    <x v="37"/>
    <s v="2017-18"/>
    <n v="258"/>
    <n v="150769.95000000001"/>
    <n v="4257.99"/>
    <n v="8730.16"/>
    <n v="1711.2588020000001"/>
  </r>
  <r>
    <n v="111"/>
    <x v="38"/>
    <s v="2015-16"/>
    <n v="258"/>
    <n v="160000"/>
    <n v="4257.99"/>
    <n v="28.86"/>
    <n v="19.920000000000002"/>
  </r>
  <r>
    <n v="112"/>
    <x v="38"/>
    <s v="2016-17"/>
    <n v="258"/>
    <n v="166000"/>
    <n v="4257.99"/>
    <n v="31.13"/>
    <n v="20.51"/>
  </r>
  <r>
    <n v="113"/>
    <x v="38"/>
    <s v="2017-18"/>
    <n v="258"/>
    <n v="175000"/>
    <n v="4257.99"/>
    <n v="38.78"/>
    <n v="22.8"/>
  </r>
  <r>
    <n v="114"/>
    <x v="39"/>
    <s v="2015-16"/>
    <n v="258"/>
    <n v="45000"/>
    <n v="13750"/>
    <n v="18"/>
    <n v="12"/>
  </r>
  <r>
    <n v="115"/>
    <x v="39"/>
    <s v="2016-17"/>
    <n v="258"/>
    <n v="45000"/>
    <n v="13750"/>
    <n v="19"/>
    <n v="14"/>
  </r>
  <r>
    <n v="116"/>
    <x v="39"/>
    <s v="2017-18"/>
    <n v="258"/>
    <n v="115000"/>
    <n v="30000"/>
    <n v="28"/>
    <n v="30"/>
  </r>
  <r>
    <n v="117"/>
    <x v="40"/>
    <s v="2015-16"/>
    <n v="258"/>
    <n v="15068"/>
    <n v="38.200000000000003"/>
    <n v="21.33"/>
    <n v="20.07"/>
  </r>
  <r>
    <n v="118"/>
    <x v="40"/>
    <s v="2016-17"/>
    <n v="258"/>
    <n v="13205"/>
    <n v="38.380000000000003"/>
    <n v="22.37"/>
    <n v="21.1"/>
  </r>
  <r>
    <n v="119"/>
    <x v="40"/>
    <s v="2017-18"/>
    <n v="258"/>
    <n v="12792"/>
    <n v="37.119999999999997"/>
    <n v="23.46"/>
    <n v="20.010000000000002"/>
  </r>
  <r>
    <n v="120"/>
    <x v="41"/>
    <s v="2015-16"/>
    <n v="258"/>
    <n v="269257"/>
    <n v="20"/>
    <n v="39.56"/>
    <n v="34.869999999999997"/>
  </r>
  <r>
    <n v="121"/>
    <x v="41"/>
    <s v="2016-17"/>
    <n v="258"/>
    <n v="279798"/>
    <n v="20"/>
    <n v="42.87"/>
    <n v="36.590000000000003"/>
  </r>
  <r>
    <n v="122"/>
    <x v="41"/>
    <s v="2017-18"/>
    <n v="258"/>
    <n v="304848"/>
    <n v="20"/>
    <n v="43.92"/>
    <n v="40.21"/>
  </r>
  <r>
    <n v="123"/>
    <x v="42"/>
    <s v="2015-16"/>
    <n v="258"/>
    <n v="8.2200000000000006"/>
    <n v="3.53"/>
    <n v="33.5"/>
    <n v="31.11"/>
  </r>
  <r>
    <n v="124"/>
    <x v="42"/>
    <s v="2016-17"/>
    <n v="258"/>
    <n v="8.32"/>
    <n v="3.65"/>
    <n v="33.81"/>
    <n v="31.03"/>
  </r>
  <r>
    <n v="125"/>
    <x v="42"/>
    <s v="2017-18"/>
    <n v="258"/>
    <n v="9.5399999999999991"/>
    <n v="3.85"/>
    <n v="34.58"/>
    <n v="33.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p 10 of revenue " cacheId="2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1:D42" firstHeaderRow="0" firstDataRow="1" firstDataCol="1"/>
  <pivotFields count="8">
    <pivotField dataField="1" showAll="0"/>
    <pivotField axis="axisRow" showAll="0" measureFilter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showAll="0"/>
    <pivotField numFmtId="2" showAll="0"/>
    <pivotField numFmtId="2" showAll="0"/>
    <pivotField dataField="1" numFmtId="2" showAll="0"/>
    <pivotField dataField="1" numFmtId="2" showAll="0"/>
  </pivotFields>
  <rowFields count="1">
    <field x="1"/>
  </rowFields>
  <rowItems count="11">
    <i>
      <x v="3"/>
    </i>
    <i>
      <x v="4"/>
    </i>
    <i>
      <x v="5"/>
    </i>
    <i>
      <x v="10"/>
    </i>
    <i>
      <x v="16"/>
    </i>
    <i>
      <x v="20"/>
    </i>
    <i>
      <x v="22"/>
    </i>
    <i>
      <x v="27"/>
    </i>
    <i>
      <x v="30"/>
    </i>
    <i>
      <x v="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_id" fld="0" subtotal="count" baseField="0" baseItem="0"/>
    <dataField name="Sum of Revenue per km in rupees" fld="7" baseField="0" baseItem="0"/>
    <dataField name="Sum of Average cost per km in rupees (daily)" fld="6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op 5 trip and revenue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3:D29" firstHeaderRow="0" firstDataRow="1" firstDataCol="1"/>
  <pivotFields count="8">
    <pivotField showAll="0"/>
    <pivotField axis="axisRow" showAll="0" measureFilter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showAll="0"/>
    <pivotField dataField="1" numFmtId="2" showAll="0"/>
    <pivotField dataField="1" numFmtId="2" showAll="0"/>
    <pivotField numFmtId="2" showAll="0"/>
    <pivotField dataField="1" numFmtId="2" showAll="0"/>
  </pivotFields>
  <rowFields count="1">
    <field x="1"/>
  </rowFields>
  <rowItems count="6">
    <i>
      <x/>
    </i>
    <i>
      <x v="10"/>
    </i>
    <i>
      <x v="13"/>
    </i>
    <i>
      <x v="15"/>
    </i>
    <i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verage Trip length in km (daily)" fld="5" baseField="0" baseItem="0"/>
    <dataField name="Sum of Average No. of passengers (day-to-day basis)" fld="4" baseField="1" baseItem="2"/>
    <dataField name="Sum of Revenue per km in rupees" fld="7" baseField="1" baseItem="1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revenue and cost  by year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6:D21" firstHeaderRow="0" firstDataRow="1" firstDataCol="1"/>
  <pivotFields count="8"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2" showAll="0"/>
    <pivotField numFmtId="2" showAll="0"/>
    <pivotField dataField="1" numFmtId="2" showAll="0"/>
    <pivotField dataField="1"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verage cost per km in rupees (daily)" fld="6" baseField="0" baseItem="0"/>
    <dataField name="Sum of Revenue per km in rupees" fld="7" baseField="0" baseItem="0"/>
    <dataField name="Count of 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rip length by year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:B14" firstHeaderRow="1" firstDataRow="1" firstDataCol="1"/>
  <pivotFields count="8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2" showAll="0"/>
    <pivotField dataField="1" numFmtId="2" showAll="0"/>
    <pivotField numFmtId="2" showAll="0"/>
    <pivotField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erage Trip length in km (daily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assenger daya tot day 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:B7" firstHeaderRow="1" firstDataRow="1" firstDataCol="1"/>
  <pivotFields count="8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numFmtId="2" showAll="0"/>
    <pivotField numFmtId="2" showAll="0"/>
    <pivotField numFmtId="2" showAll="0"/>
    <pivotField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erage No. of passengers (day-to-day basis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busestable" displayName="busestable" ref="A1:H126" totalsRowShown="0">
  <autoFilter ref="A1:H126"/>
  <tableColumns count="8">
    <tableColumn id="1" name="_id"/>
    <tableColumn id="2" name="City"/>
    <tableColumn id="3" name="Year"/>
    <tableColumn id="4" name="Average No. of daily trips"/>
    <tableColumn id="5" name="Average No. of passengers (day-to-day basis)" dataDxfId="3"/>
    <tableColumn id="6" name="Average Trip length in km (daily)" dataDxfId="2"/>
    <tableColumn id="7" name="Average cost per km in rupees (daily)" dataDxfId="1"/>
    <tableColumn id="8" name="Revenue per km in rupees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tabSelected="1" topLeftCell="A8" workbookViewId="0">
      <selection activeCell="F20" sqref="F20"/>
    </sheetView>
  </sheetViews>
  <sheetFormatPr defaultRowHeight="15" x14ac:dyDescent="0.25"/>
  <cols>
    <col min="4" max="4" width="25.42578125" customWidth="1"/>
    <col min="5" max="5" width="42.85546875" style="1" customWidth="1"/>
    <col min="6" max="6" width="31.85546875" style="1" customWidth="1"/>
    <col min="7" max="7" width="35.85546875" style="1" customWidth="1"/>
    <col min="8" max="8" width="26.28515625" style="1" customWidth="1"/>
    <col min="12" max="12" width="9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>
        <v>1</v>
      </c>
      <c r="B2" t="s">
        <v>8</v>
      </c>
      <c r="C2" t="s">
        <v>9</v>
      </c>
      <c r="D2">
        <v>245</v>
      </c>
      <c r="E2" s="1">
        <v>20222</v>
      </c>
      <c r="F2" s="1">
        <v>16546</v>
      </c>
      <c r="G2" s="1">
        <v>301632</v>
      </c>
      <c r="H2" s="1">
        <v>18.23</v>
      </c>
    </row>
    <row r="3" spans="1:12" x14ac:dyDescent="0.25">
      <c r="A3">
        <v>2</v>
      </c>
      <c r="B3" t="s">
        <v>8</v>
      </c>
      <c r="C3" t="s">
        <v>10</v>
      </c>
      <c r="D3">
        <v>258</v>
      </c>
      <c r="E3" s="1">
        <v>16392</v>
      </c>
      <c r="F3" s="1">
        <v>15030</v>
      </c>
      <c r="G3" s="1">
        <v>273793</v>
      </c>
      <c r="H3" s="1">
        <v>18.22</v>
      </c>
    </row>
    <row r="4" spans="1:12" x14ac:dyDescent="0.25">
      <c r="A4">
        <v>3</v>
      </c>
      <c r="B4" t="s">
        <v>8</v>
      </c>
      <c r="C4" t="s">
        <v>11</v>
      </c>
      <c r="D4">
        <v>258</v>
      </c>
      <c r="E4" s="1">
        <v>16742</v>
      </c>
      <c r="F4" s="1">
        <v>16408</v>
      </c>
      <c r="G4" s="1">
        <v>305810</v>
      </c>
      <c r="H4" s="1">
        <v>18.399999999999999</v>
      </c>
    </row>
    <row r="5" spans="1:12" x14ac:dyDescent="0.25">
      <c r="A5">
        <v>4</v>
      </c>
      <c r="B5" t="s">
        <v>12</v>
      </c>
      <c r="C5" t="s">
        <v>9</v>
      </c>
      <c r="D5">
        <v>258</v>
      </c>
      <c r="E5" s="1">
        <v>200</v>
      </c>
      <c r="F5" s="1">
        <v>45</v>
      </c>
      <c r="G5" s="1">
        <v>5</v>
      </c>
      <c r="H5" s="1">
        <v>5</v>
      </c>
    </row>
    <row r="6" spans="1:12" x14ac:dyDescent="0.25">
      <c r="A6">
        <v>5</v>
      </c>
      <c r="B6" t="s">
        <v>12</v>
      </c>
      <c r="C6" t="s">
        <v>10</v>
      </c>
      <c r="D6">
        <v>258</v>
      </c>
      <c r="E6" s="1">
        <v>200</v>
      </c>
      <c r="F6" s="1">
        <v>45</v>
      </c>
      <c r="G6" s="1">
        <v>5</v>
      </c>
      <c r="H6" s="1">
        <v>5</v>
      </c>
    </row>
    <row r="7" spans="1:12" x14ac:dyDescent="0.25">
      <c r="A7">
        <v>6</v>
      </c>
      <c r="B7" t="s">
        <v>12</v>
      </c>
      <c r="C7" t="s">
        <v>11</v>
      </c>
      <c r="D7">
        <v>258</v>
      </c>
      <c r="E7" s="1">
        <v>200</v>
      </c>
      <c r="F7" s="1">
        <v>45</v>
      </c>
      <c r="G7" s="1">
        <v>5</v>
      </c>
      <c r="H7" s="1">
        <v>5</v>
      </c>
    </row>
    <row r="8" spans="1:12" x14ac:dyDescent="0.25">
      <c r="A8">
        <v>7</v>
      </c>
      <c r="B8" t="s">
        <v>13</v>
      </c>
      <c r="C8" t="s">
        <v>9</v>
      </c>
      <c r="D8">
        <v>258</v>
      </c>
      <c r="E8" s="1">
        <v>17551</v>
      </c>
      <c r="F8" s="1">
        <v>11.41</v>
      </c>
      <c r="G8" s="1">
        <v>32.79</v>
      </c>
      <c r="H8" s="1">
        <v>28.18</v>
      </c>
      <c r="L8" s="1"/>
    </row>
    <row r="9" spans="1:12" x14ac:dyDescent="0.25">
      <c r="A9">
        <v>8</v>
      </c>
      <c r="B9" t="s">
        <v>13</v>
      </c>
      <c r="C9" t="s">
        <v>10</v>
      </c>
      <c r="D9">
        <v>258</v>
      </c>
      <c r="E9" s="1">
        <v>15975</v>
      </c>
      <c r="F9" s="1">
        <v>9.7799999999999994</v>
      </c>
      <c r="G9" s="1">
        <v>36.840000000000003</v>
      </c>
      <c r="H9" s="1">
        <v>25.6</v>
      </c>
    </row>
    <row r="10" spans="1:12" x14ac:dyDescent="0.25">
      <c r="A10">
        <v>9</v>
      </c>
      <c r="B10" t="s">
        <v>13</v>
      </c>
      <c r="C10" t="s">
        <v>11</v>
      </c>
      <c r="D10">
        <v>258</v>
      </c>
      <c r="E10" s="1">
        <v>14186</v>
      </c>
      <c r="F10" s="1">
        <v>8.9</v>
      </c>
      <c r="G10" s="1">
        <v>37.17</v>
      </c>
      <c r="H10" s="1">
        <v>27.57</v>
      </c>
    </row>
    <row r="11" spans="1:12" x14ac:dyDescent="0.25">
      <c r="A11">
        <v>10</v>
      </c>
      <c r="B11" t="s">
        <v>14</v>
      </c>
      <c r="C11" t="s">
        <v>9</v>
      </c>
      <c r="D11">
        <v>258</v>
      </c>
      <c r="E11" s="1">
        <v>975000</v>
      </c>
      <c r="F11" s="1">
        <v>195.22</v>
      </c>
      <c r="G11" s="1">
        <v>5</v>
      </c>
      <c r="H11" s="1">
        <v>4994</v>
      </c>
    </row>
    <row r="12" spans="1:12" x14ac:dyDescent="0.25">
      <c r="A12">
        <v>11</v>
      </c>
      <c r="B12" t="s">
        <v>14</v>
      </c>
      <c r="C12" t="s">
        <v>10</v>
      </c>
      <c r="D12">
        <v>258</v>
      </c>
      <c r="E12" s="1">
        <v>975000</v>
      </c>
      <c r="F12" s="1">
        <v>195.22</v>
      </c>
      <c r="G12" s="1">
        <v>5</v>
      </c>
      <c r="H12" s="1">
        <v>4994</v>
      </c>
    </row>
    <row r="13" spans="1:12" x14ac:dyDescent="0.25">
      <c r="A13">
        <v>12</v>
      </c>
      <c r="B13" t="s">
        <v>14</v>
      </c>
      <c r="C13" t="s">
        <v>11</v>
      </c>
      <c r="D13">
        <v>258</v>
      </c>
      <c r="E13" s="1">
        <v>975000</v>
      </c>
      <c r="F13" s="1">
        <v>195.22</v>
      </c>
      <c r="G13" s="1">
        <v>5</v>
      </c>
      <c r="H13" s="1">
        <v>4994</v>
      </c>
    </row>
    <row r="14" spans="1:12" x14ac:dyDescent="0.25">
      <c r="A14">
        <v>13</v>
      </c>
      <c r="B14" t="s">
        <v>15</v>
      </c>
      <c r="C14" t="s">
        <v>10</v>
      </c>
      <c r="D14">
        <v>258</v>
      </c>
      <c r="E14" s="1">
        <v>90000</v>
      </c>
      <c r="F14" s="1">
        <v>9</v>
      </c>
      <c r="G14" s="1">
        <v>0.44</v>
      </c>
      <c r="H14" s="1">
        <v>27659</v>
      </c>
    </row>
    <row r="15" spans="1:12" x14ac:dyDescent="0.25">
      <c r="A15">
        <v>14</v>
      </c>
      <c r="B15" t="s">
        <v>15</v>
      </c>
      <c r="C15" t="s">
        <v>11</v>
      </c>
      <c r="D15">
        <v>258</v>
      </c>
      <c r="E15" s="1">
        <v>93000</v>
      </c>
      <c r="F15" s="1">
        <v>11</v>
      </c>
      <c r="G15" s="1">
        <v>0.43</v>
      </c>
      <c r="H15" s="1">
        <v>2755</v>
      </c>
    </row>
    <row r="16" spans="1:12" x14ac:dyDescent="0.25">
      <c r="A16">
        <v>15</v>
      </c>
      <c r="B16" t="s">
        <v>16</v>
      </c>
      <c r="C16" t="s">
        <v>9</v>
      </c>
      <c r="D16">
        <v>258</v>
      </c>
      <c r="E16" s="1">
        <v>50.74</v>
      </c>
      <c r="F16" s="1">
        <v>18.440000000000001</v>
      </c>
      <c r="G16" s="1">
        <v>4907.9320870000001</v>
      </c>
      <c r="H16" s="1">
        <v>4291.0591480000003</v>
      </c>
    </row>
    <row r="17" spans="1:8" x14ac:dyDescent="0.25">
      <c r="A17">
        <v>16</v>
      </c>
      <c r="B17" t="s">
        <v>16</v>
      </c>
      <c r="C17" t="s">
        <v>10</v>
      </c>
      <c r="D17">
        <v>258</v>
      </c>
      <c r="E17" s="1">
        <v>45.34</v>
      </c>
      <c r="F17" s="1">
        <v>18.57</v>
      </c>
      <c r="G17" s="1">
        <v>5628.7791310000002</v>
      </c>
      <c r="H17" s="1">
        <v>4210.19571</v>
      </c>
    </row>
    <row r="18" spans="1:8" x14ac:dyDescent="0.25">
      <c r="A18">
        <v>17</v>
      </c>
      <c r="B18" t="s">
        <v>16</v>
      </c>
      <c r="C18" t="s">
        <v>11</v>
      </c>
      <c r="D18">
        <v>258</v>
      </c>
      <c r="E18" s="1">
        <v>44.37</v>
      </c>
      <c r="F18" s="1">
        <v>19.100000000000001</v>
      </c>
      <c r="G18" s="1">
        <v>5870.0741740000003</v>
      </c>
      <c r="H18" s="1">
        <v>4237.4673730000004</v>
      </c>
    </row>
    <row r="19" spans="1:8" x14ac:dyDescent="0.25">
      <c r="A19">
        <v>18</v>
      </c>
      <c r="B19" t="s">
        <v>17</v>
      </c>
      <c r="C19" t="s">
        <v>9</v>
      </c>
      <c r="D19">
        <v>258</v>
      </c>
      <c r="E19" s="1">
        <v>67842</v>
      </c>
      <c r="F19" s="1">
        <v>23</v>
      </c>
      <c r="G19" s="1">
        <v>8730.16</v>
      </c>
      <c r="H19" s="1">
        <v>25.94</v>
      </c>
    </row>
    <row r="20" spans="1:8" x14ac:dyDescent="0.25">
      <c r="A20">
        <v>19</v>
      </c>
      <c r="B20" t="s">
        <v>17</v>
      </c>
      <c r="C20" t="s">
        <v>10</v>
      </c>
      <c r="D20">
        <v>258</v>
      </c>
      <c r="E20" s="1">
        <v>58107</v>
      </c>
      <c r="F20" s="1">
        <v>23.5</v>
      </c>
      <c r="G20" s="1">
        <v>8730.16</v>
      </c>
      <c r="H20" s="1">
        <v>33.64</v>
      </c>
    </row>
    <row r="21" spans="1:8" x14ac:dyDescent="0.25">
      <c r="A21">
        <v>20</v>
      </c>
      <c r="B21" t="s">
        <v>17</v>
      </c>
      <c r="C21" t="s">
        <v>11</v>
      </c>
      <c r="D21">
        <v>258</v>
      </c>
      <c r="E21" s="1">
        <v>145447</v>
      </c>
      <c r="F21" s="1">
        <v>27</v>
      </c>
      <c r="G21" s="1">
        <v>8730.16</v>
      </c>
      <c r="H21" s="1">
        <v>26.82</v>
      </c>
    </row>
    <row r="22" spans="1:8" x14ac:dyDescent="0.25">
      <c r="A22">
        <v>21</v>
      </c>
      <c r="B22" t="s">
        <v>18</v>
      </c>
      <c r="C22" t="s">
        <v>19</v>
      </c>
      <c r="D22">
        <v>258</v>
      </c>
      <c r="E22" s="1">
        <v>68000</v>
      </c>
      <c r="F22" s="1">
        <v>36000</v>
      </c>
      <c r="G22" s="1">
        <v>8730.16</v>
      </c>
      <c r="H22" s="1">
        <v>25</v>
      </c>
    </row>
    <row r="23" spans="1:8" x14ac:dyDescent="0.25">
      <c r="A23">
        <v>22</v>
      </c>
      <c r="B23" t="s">
        <v>20</v>
      </c>
      <c r="C23" t="s">
        <v>9</v>
      </c>
      <c r="D23">
        <v>258</v>
      </c>
      <c r="E23" s="1">
        <v>1.41</v>
      </c>
      <c r="F23" s="1">
        <v>171.64</v>
      </c>
      <c r="G23" s="1">
        <v>57.47</v>
      </c>
      <c r="H23" s="1">
        <v>37.549999999999997</v>
      </c>
    </row>
    <row r="24" spans="1:8" x14ac:dyDescent="0.25">
      <c r="A24">
        <v>23</v>
      </c>
      <c r="B24" t="s">
        <v>20</v>
      </c>
      <c r="C24" t="s">
        <v>10</v>
      </c>
      <c r="D24">
        <v>258</v>
      </c>
      <c r="E24" s="1">
        <v>1.22</v>
      </c>
      <c r="F24" s="1">
        <v>186.67</v>
      </c>
      <c r="G24" s="1">
        <v>55.73</v>
      </c>
      <c r="H24" s="1">
        <v>35.22</v>
      </c>
    </row>
    <row r="25" spans="1:8" x14ac:dyDescent="0.25">
      <c r="A25">
        <v>24</v>
      </c>
      <c r="B25" t="s">
        <v>20</v>
      </c>
      <c r="C25" t="s">
        <v>11</v>
      </c>
      <c r="D25">
        <v>258</v>
      </c>
      <c r="E25" s="1">
        <v>1.36</v>
      </c>
      <c r="F25" s="1">
        <v>186.54</v>
      </c>
      <c r="G25" s="1">
        <v>57.35</v>
      </c>
      <c r="H25" s="1">
        <v>34.53</v>
      </c>
    </row>
    <row r="26" spans="1:8" x14ac:dyDescent="0.25">
      <c r="A26">
        <v>25</v>
      </c>
      <c r="B26" t="s">
        <v>21</v>
      </c>
      <c r="C26" t="s">
        <v>9</v>
      </c>
      <c r="D26">
        <v>258</v>
      </c>
      <c r="E26" s="1">
        <v>6738</v>
      </c>
      <c r="F26" s="1">
        <v>16</v>
      </c>
      <c r="G26" s="1">
        <v>33.89</v>
      </c>
      <c r="H26" s="1">
        <v>22.71</v>
      </c>
    </row>
    <row r="27" spans="1:8" x14ac:dyDescent="0.25">
      <c r="A27">
        <v>26</v>
      </c>
      <c r="B27" t="s">
        <v>21</v>
      </c>
      <c r="C27" t="s">
        <v>10</v>
      </c>
      <c r="D27">
        <v>258</v>
      </c>
      <c r="E27" s="1">
        <v>15244</v>
      </c>
      <c r="F27" s="1">
        <v>16</v>
      </c>
      <c r="G27" s="1">
        <v>33.33</v>
      </c>
      <c r="H27" s="1">
        <v>24.08</v>
      </c>
    </row>
    <row r="28" spans="1:8" x14ac:dyDescent="0.25">
      <c r="A28">
        <v>27</v>
      </c>
      <c r="B28" t="s">
        <v>21</v>
      </c>
      <c r="C28" t="s">
        <v>11</v>
      </c>
      <c r="D28">
        <v>258</v>
      </c>
      <c r="E28" s="1">
        <v>43673</v>
      </c>
      <c r="F28" s="1">
        <v>16</v>
      </c>
      <c r="G28" s="1">
        <v>32.380000000000003</v>
      </c>
      <c r="H28" s="1">
        <v>25.74</v>
      </c>
    </row>
    <row r="29" spans="1:8" x14ac:dyDescent="0.25">
      <c r="A29">
        <v>28</v>
      </c>
      <c r="B29" t="s">
        <v>22</v>
      </c>
      <c r="C29" t="s">
        <v>9</v>
      </c>
      <c r="D29">
        <v>258</v>
      </c>
      <c r="E29" s="1">
        <v>150769.95000000001</v>
      </c>
      <c r="F29" s="1">
        <v>29005</v>
      </c>
      <c r="G29" s="1">
        <v>8730.16</v>
      </c>
      <c r="H29" s="1">
        <v>1711.2588020000001</v>
      </c>
    </row>
    <row r="30" spans="1:8" x14ac:dyDescent="0.25">
      <c r="A30">
        <v>29</v>
      </c>
      <c r="B30" t="s">
        <v>22</v>
      </c>
      <c r="C30" t="s">
        <v>10</v>
      </c>
      <c r="D30">
        <v>258</v>
      </c>
      <c r="E30" s="1">
        <v>150769.95000000001</v>
      </c>
      <c r="F30" s="1">
        <v>29005</v>
      </c>
      <c r="G30" s="1">
        <v>8730.16</v>
      </c>
      <c r="H30" s="1">
        <v>1711.2588020000001</v>
      </c>
    </row>
    <row r="31" spans="1:8" x14ac:dyDescent="0.25">
      <c r="A31">
        <v>30</v>
      </c>
      <c r="B31" t="s">
        <v>22</v>
      </c>
      <c r="C31" t="s">
        <v>11</v>
      </c>
      <c r="D31">
        <v>258</v>
      </c>
      <c r="E31" s="1">
        <v>150769.95000000001</v>
      </c>
      <c r="F31" s="1">
        <v>27855</v>
      </c>
      <c r="G31" s="1">
        <v>8730.16</v>
      </c>
      <c r="H31" s="1">
        <v>1711.2588020000001</v>
      </c>
    </row>
    <row r="32" spans="1:8" x14ac:dyDescent="0.25">
      <c r="A32">
        <v>31</v>
      </c>
      <c r="B32" t="s">
        <v>23</v>
      </c>
      <c r="C32" t="s">
        <v>9</v>
      </c>
      <c r="D32">
        <v>258</v>
      </c>
      <c r="E32" s="1">
        <v>90432</v>
      </c>
      <c r="F32" s="1">
        <v>35</v>
      </c>
      <c r="G32" s="1">
        <v>39</v>
      </c>
      <c r="H32" s="1">
        <v>29.02</v>
      </c>
    </row>
    <row r="33" spans="1:8" x14ac:dyDescent="0.25">
      <c r="A33">
        <v>32</v>
      </c>
      <c r="B33" t="s">
        <v>23</v>
      </c>
      <c r="C33" t="s">
        <v>10</v>
      </c>
      <c r="D33">
        <v>258</v>
      </c>
      <c r="E33" s="1">
        <v>88324</v>
      </c>
      <c r="F33" s="1">
        <v>35</v>
      </c>
      <c r="G33" s="1">
        <v>42</v>
      </c>
      <c r="H33" s="1">
        <v>28.54</v>
      </c>
    </row>
    <row r="34" spans="1:8" x14ac:dyDescent="0.25">
      <c r="A34">
        <v>33</v>
      </c>
      <c r="B34" t="s">
        <v>23</v>
      </c>
      <c r="C34" t="s">
        <v>11</v>
      </c>
      <c r="D34">
        <v>258</v>
      </c>
      <c r="E34" s="1">
        <v>64998</v>
      </c>
      <c r="F34" s="1">
        <v>35</v>
      </c>
      <c r="G34" s="1">
        <v>45</v>
      </c>
      <c r="H34" s="1">
        <v>27.79</v>
      </c>
    </row>
    <row r="35" spans="1:8" x14ac:dyDescent="0.25">
      <c r="A35">
        <v>34</v>
      </c>
      <c r="B35" t="s">
        <v>24</v>
      </c>
      <c r="C35" t="s">
        <v>9</v>
      </c>
      <c r="D35">
        <v>258</v>
      </c>
      <c r="E35" s="1">
        <v>7680</v>
      </c>
      <c r="F35" s="1">
        <v>12000</v>
      </c>
      <c r="G35" s="1">
        <v>17</v>
      </c>
      <c r="H35" s="1">
        <v>30</v>
      </c>
    </row>
    <row r="36" spans="1:8" x14ac:dyDescent="0.25">
      <c r="A36">
        <v>35</v>
      </c>
      <c r="B36" t="s">
        <v>24</v>
      </c>
      <c r="C36" t="s">
        <v>10</v>
      </c>
      <c r="D36">
        <v>258</v>
      </c>
      <c r="E36" s="1">
        <v>6960</v>
      </c>
      <c r="F36" s="1">
        <v>12500</v>
      </c>
      <c r="G36" s="1">
        <v>17</v>
      </c>
      <c r="H36" s="1">
        <v>29</v>
      </c>
    </row>
    <row r="37" spans="1:8" x14ac:dyDescent="0.25">
      <c r="A37">
        <v>36</v>
      </c>
      <c r="B37" t="s">
        <v>24</v>
      </c>
      <c r="C37" t="s">
        <v>11</v>
      </c>
      <c r="D37">
        <v>258</v>
      </c>
      <c r="E37" s="1">
        <v>9840</v>
      </c>
      <c r="F37" s="1">
        <v>10500</v>
      </c>
      <c r="G37" s="1">
        <v>17</v>
      </c>
      <c r="H37" s="1">
        <v>30</v>
      </c>
    </row>
    <row r="38" spans="1:8" x14ac:dyDescent="0.25">
      <c r="A38">
        <v>37</v>
      </c>
      <c r="B38" t="s">
        <v>25</v>
      </c>
      <c r="C38" t="s">
        <v>9</v>
      </c>
      <c r="D38">
        <v>258</v>
      </c>
      <c r="E38" s="1">
        <v>70134</v>
      </c>
      <c r="F38" s="1">
        <v>20000</v>
      </c>
      <c r="G38" s="1">
        <v>17.53</v>
      </c>
      <c r="H38" s="1">
        <v>25.52</v>
      </c>
    </row>
    <row r="39" spans="1:8" x14ac:dyDescent="0.25">
      <c r="A39">
        <v>38</v>
      </c>
      <c r="B39" t="s">
        <v>25</v>
      </c>
      <c r="C39" t="s">
        <v>10</v>
      </c>
      <c r="D39">
        <v>258</v>
      </c>
      <c r="E39" s="1">
        <v>88354</v>
      </c>
      <c r="F39" s="1">
        <v>37400</v>
      </c>
      <c r="G39" s="1">
        <v>20.54</v>
      </c>
      <c r="H39" s="1">
        <v>29.95</v>
      </c>
    </row>
    <row r="40" spans="1:8" x14ac:dyDescent="0.25">
      <c r="A40">
        <v>39</v>
      </c>
      <c r="B40" t="s">
        <v>25</v>
      </c>
      <c r="C40" t="s">
        <v>11</v>
      </c>
      <c r="D40">
        <v>258</v>
      </c>
      <c r="E40" s="1">
        <v>155428</v>
      </c>
      <c r="F40" s="1">
        <v>37400</v>
      </c>
      <c r="G40" s="1">
        <v>26.94</v>
      </c>
      <c r="H40" s="1">
        <v>37.68</v>
      </c>
    </row>
    <row r="41" spans="1:8" x14ac:dyDescent="0.25">
      <c r="A41">
        <v>40</v>
      </c>
      <c r="B41" t="s">
        <v>26</v>
      </c>
      <c r="C41" t="s">
        <v>9</v>
      </c>
      <c r="D41">
        <v>258</v>
      </c>
      <c r="E41" s="1">
        <v>35000</v>
      </c>
      <c r="F41" s="1">
        <v>18.5</v>
      </c>
      <c r="G41" s="1">
        <v>36</v>
      </c>
      <c r="H41" s="1">
        <v>36.799999999999997</v>
      </c>
    </row>
    <row r="42" spans="1:8" x14ac:dyDescent="0.25">
      <c r="A42">
        <v>41</v>
      </c>
      <c r="B42" t="s">
        <v>26</v>
      </c>
      <c r="C42" t="s">
        <v>10</v>
      </c>
      <c r="D42">
        <v>258</v>
      </c>
      <c r="E42" s="1">
        <v>38000</v>
      </c>
      <c r="F42" s="1">
        <v>18.5</v>
      </c>
      <c r="G42" s="1">
        <v>38</v>
      </c>
      <c r="H42" s="1">
        <v>37.5</v>
      </c>
    </row>
    <row r="43" spans="1:8" x14ac:dyDescent="0.25">
      <c r="A43">
        <v>42</v>
      </c>
      <c r="B43" t="s">
        <v>26</v>
      </c>
      <c r="C43" t="s">
        <v>11</v>
      </c>
      <c r="D43">
        <v>258</v>
      </c>
      <c r="E43" s="1">
        <v>40000</v>
      </c>
      <c r="F43" s="1">
        <v>18</v>
      </c>
      <c r="G43" s="1">
        <v>41</v>
      </c>
      <c r="H43" s="1">
        <v>39</v>
      </c>
    </row>
    <row r="44" spans="1:8" x14ac:dyDescent="0.25">
      <c r="A44">
        <v>43</v>
      </c>
      <c r="B44" t="s">
        <v>27</v>
      </c>
      <c r="C44" t="s">
        <v>9</v>
      </c>
      <c r="D44">
        <v>258</v>
      </c>
      <c r="E44" s="1">
        <v>11366</v>
      </c>
      <c r="F44" s="1">
        <v>11649</v>
      </c>
      <c r="G44" s="1">
        <v>36.049999999999997</v>
      </c>
      <c r="H44" s="1">
        <v>18.62</v>
      </c>
    </row>
    <row r="45" spans="1:8" x14ac:dyDescent="0.25">
      <c r="A45">
        <v>44</v>
      </c>
      <c r="B45" t="s">
        <v>27</v>
      </c>
      <c r="C45" t="s">
        <v>10</v>
      </c>
      <c r="D45">
        <v>258</v>
      </c>
      <c r="E45" s="1">
        <v>23316</v>
      </c>
      <c r="F45" s="1">
        <v>18927</v>
      </c>
      <c r="G45" s="1">
        <v>37</v>
      </c>
      <c r="H45" s="1">
        <v>18.98</v>
      </c>
    </row>
    <row r="46" spans="1:8" x14ac:dyDescent="0.25">
      <c r="A46">
        <v>45</v>
      </c>
      <c r="B46" t="s">
        <v>27</v>
      </c>
      <c r="C46" t="s">
        <v>11</v>
      </c>
      <c r="D46">
        <v>258</v>
      </c>
      <c r="E46" s="1">
        <v>19216</v>
      </c>
      <c r="F46" s="1">
        <v>20238</v>
      </c>
      <c r="G46" s="1">
        <v>39.659999999999997</v>
      </c>
      <c r="H46" s="1">
        <v>20.92</v>
      </c>
    </row>
    <row r="47" spans="1:8" x14ac:dyDescent="0.25">
      <c r="A47">
        <v>46</v>
      </c>
      <c r="B47" t="s">
        <v>28</v>
      </c>
      <c r="C47" t="s">
        <v>9</v>
      </c>
      <c r="D47">
        <v>258</v>
      </c>
      <c r="E47" s="1">
        <v>180</v>
      </c>
      <c r="F47" s="1">
        <v>64</v>
      </c>
      <c r="G47" s="1">
        <v>9</v>
      </c>
      <c r="H47" s="1">
        <v>90</v>
      </c>
    </row>
    <row r="48" spans="1:8" x14ac:dyDescent="0.25">
      <c r="A48">
        <v>47</v>
      </c>
      <c r="B48" t="s">
        <v>28</v>
      </c>
      <c r="C48" t="s">
        <v>10</v>
      </c>
      <c r="D48">
        <v>258</v>
      </c>
      <c r="E48" s="1">
        <v>180</v>
      </c>
      <c r="F48" s="1">
        <v>64</v>
      </c>
      <c r="G48" s="1">
        <v>5</v>
      </c>
      <c r="H48" s="1">
        <v>80</v>
      </c>
    </row>
    <row r="49" spans="1:8" x14ac:dyDescent="0.25">
      <c r="A49">
        <v>48</v>
      </c>
      <c r="B49" t="s">
        <v>28</v>
      </c>
      <c r="C49" t="s">
        <v>11</v>
      </c>
      <c r="D49">
        <v>258</v>
      </c>
      <c r="E49" s="1">
        <v>160</v>
      </c>
      <c r="F49" s="1">
        <v>64</v>
      </c>
      <c r="G49" s="1">
        <v>5</v>
      </c>
      <c r="H49" s="1">
        <v>70</v>
      </c>
    </row>
    <row r="50" spans="1:8" x14ac:dyDescent="0.25">
      <c r="A50">
        <v>49</v>
      </c>
      <c r="B50" t="s">
        <v>29</v>
      </c>
      <c r="C50" t="s">
        <v>10</v>
      </c>
      <c r="D50">
        <v>258</v>
      </c>
      <c r="E50" s="1">
        <v>5000</v>
      </c>
      <c r="F50" s="1">
        <v>186</v>
      </c>
      <c r="G50" s="1">
        <v>49</v>
      </c>
      <c r="H50" s="1">
        <v>7.54</v>
      </c>
    </row>
    <row r="51" spans="1:8" x14ac:dyDescent="0.25">
      <c r="A51">
        <v>50</v>
      </c>
      <c r="B51" t="s">
        <v>29</v>
      </c>
      <c r="C51" t="s">
        <v>11</v>
      </c>
      <c r="D51">
        <v>258</v>
      </c>
      <c r="E51" s="1">
        <v>6000</v>
      </c>
      <c r="F51" s="1">
        <v>186</v>
      </c>
      <c r="G51" s="1">
        <v>49</v>
      </c>
      <c r="H51" s="1">
        <v>7.54</v>
      </c>
    </row>
    <row r="52" spans="1:8" x14ac:dyDescent="0.25">
      <c r="A52">
        <v>51</v>
      </c>
      <c r="B52" t="s">
        <v>30</v>
      </c>
      <c r="C52" t="s">
        <v>9</v>
      </c>
      <c r="D52">
        <v>258</v>
      </c>
      <c r="E52" s="1">
        <v>270</v>
      </c>
      <c r="F52" s="1">
        <v>29</v>
      </c>
      <c r="G52" s="1">
        <v>25.22</v>
      </c>
      <c r="H52" s="1">
        <v>20.16</v>
      </c>
    </row>
    <row r="53" spans="1:8" x14ac:dyDescent="0.25">
      <c r="A53">
        <v>52</v>
      </c>
      <c r="B53" t="s">
        <v>30</v>
      </c>
      <c r="C53" t="s">
        <v>10</v>
      </c>
      <c r="D53">
        <v>258</v>
      </c>
      <c r="E53" s="1">
        <v>216</v>
      </c>
      <c r="F53" s="1">
        <v>28</v>
      </c>
      <c r="G53" s="1">
        <v>24.47</v>
      </c>
      <c r="H53" s="1">
        <v>17.61</v>
      </c>
    </row>
    <row r="54" spans="1:8" x14ac:dyDescent="0.25">
      <c r="A54">
        <v>53</v>
      </c>
      <c r="B54" t="s">
        <v>30</v>
      </c>
      <c r="C54" t="s">
        <v>11</v>
      </c>
      <c r="D54">
        <v>258</v>
      </c>
      <c r="E54" s="1">
        <v>225</v>
      </c>
      <c r="F54" s="1">
        <v>30</v>
      </c>
      <c r="G54" s="1">
        <v>28.2</v>
      </c>
      <c r="H54" s="1">
        <v>21.62</v>
      </c>
    </row>
    <row r="55" spans="1:8" x14ac:dyDescent="0.25">
      <c r="A55">
        <v>54</v>
      </c>
      <c r="B55" t="s">
        <v>31</v>
      </c>
      <c r="C55" t="s">
        <v>9</v>
      </c>
      <c r="D55">
        <v>258</v>
      </c>
      <c r="E55" s="1">
        <v>545945</v>
      </c>
      <c r="F55" s="1">
        <v>60</v>
      </c>
      <c r="G55" s="1">
        <v>34</v>
      </c>
      <c r="H55" s="1">
        <v>24</v>
      </c>
    </row>
    <row r="56" spans="1:8" x14ac:dyDescent="0.25">
      <c r="A56">
        <v>55</v>
      </c>
      <c r="B56" t="s">
        <v>31</v>
      </c>
      <c r="C56" t="s">
        <v>10</v>
      </c>
      <c r="D56">
        <v>258</v>
      </c>
      <c r="E56" s="1">
        <v>524293</v>
      </c>
      <c r="F56" s="1">
        <v>62</v>
      </c>
      <c r="G56" s="1">
        <v>36</v>
      </c>
      <c r="H56" s="1">
        <v>23</v>
      </c>
    </row>
    <row r="57" spans="1:8" x14ac:dyDescent="0.25">
      <c r="A57">
        <v>56</v>
      </c>
      <c r="B57" t="s">
        <v>31</v>
      </c>
      <c r="C57" t="s">
        <v>11</v>
      </c>
      <c r="D57">
        <v>258</v>
      </c>
      <c r="E57" s="1">
        <v>513562</v>
      </c>
      <c r="F57" s="1">
        <v>66</v>
      </c>
      <c r="G57" s="1">
        <v>41</v>
      </c>
      <c r="H57" s="1">
        <v>27</v>
      </c>
    </row>
    <row r="58" spans="1:8" x14ac:dyDescent="0.25">
      <c r="A58">
        <v>57</v>
      </c>
      <c r="B58" t="s">
        <v>32</v>
      </c>
      <c r="C58" t="s">
        <v>9</v>
      </c>
      <c r="D58">
        <v>258</v>
      </c>
      <c r="E58" s="1">
        <v>158944</v>
      </c>
      <c r="F58" s="1">
        <v>4257.99</v>
      </c>
      <c r="G58" s="1">
        <v>8730.16</v>
      </c>
      <c r="H58" s="1">
        <v>1711.2588020000001</v>
      </c>
    </row>
    <row r="59" spans="1:8" x14ac:dyDescent="0.25">
      <c r="A59">
        <v>58</v>
      </c>
      <c r="B59" t="s">
        <v>32</v>
      </c>
      <c r="C59" t="s">
        <v>10</v>
      </c>
      <c r="D59">
        <v>258</v>
      </c>
      <c r="E59" s="1">
        <v>0</v>
      </c>
      <c r="F59" s="1">
        <v>4257.99</v>
      </c>
      <c r="G59" s="1">
        <v>8730.16</v>
      </c>
      <c r="H59" s="1">
        <v>1711.2588020000001</v>
      </c>
    </row>
    <row r="60" spans="1:8" x14ac:dyDescent="0.25">
      <c r="A60">
        <v>59</v>
      </c>
      <c r="B60" t="s">
        <v>32</v>
      </c>
      <c r="C60" t="s">
        <v>11</v>
      </c>
      <c r="D60">
        <v>258</v>
      </c>
      <c r="E60" s="1">
        <v>256</v>
      </c>
      <c r="F60" s="1">
        <v>4257.99</v>
      </c>
      <c r="G60" s="1">
        <v>8730.16</v>
      </c>
      <c r="H60" s="1">
        <v>1711.2588020000001</v>
      </c>
    </row>
    <row r="61" spans="1:8" x14ac:dyDescent="0.25">
      <c r="A61">
        <v>60</v>
      </c>
      <c r="B61" t="s">
        <v>33</v>
      </c>
      <c r="C61" t="s">
        <v>9</v>
      </c>
      <c r="D61">
        <v>258</v>
      </c>
      <c r="E61" s="1">
        <v>4201</v>
      </c>
      <c r="F61" s="1">
        <v>5102</v>
      </c>
      <c r="G61" s="1">
        <v>15</v>
      </c>
      <c r="H61" s="1">
        <v>26</v>
      </c>
    </row>
    <row r="62" spans="1:8" x14ac:dyDescent="0.25">
      <c r="A62">
        <v>61</v>
      </c>
      <c r="B62" t="s">
        <v>33</v>
      </c>
      <c r="C62" t="s">
        <v>10</v>
      </c>
      <c r="D62">
        <v>258</v>
      </c>
      <c r="E62" s="1">
        <v>7840</v>
      </c>
      <c r="F62" s="1">
        <v>11198</v>
      </c>
      <c r="G62" s="1">
        <v>15</v>
      </c>
      <c r="H62" s="1">
        <v>25</v>
      </c>
    </row>
    <row r="63" spans="1:8" x14ac:dyDescent="0.25">
      <c r="A63">
        <v>62</v>
      </c>
      <c r="B63" t="s">
        <v>33</v>
      </c>
      <c r="C63" t="s">
        <v>11</v>
      </c>
      <c r="D63">
        <v>258</v>
      </c>
      <c r="E63" s="1">
        <v>7851</v>
      </c>
      <c r="F63" s="1">
        <v>11202</v>
      </c>
      <c r="G63" s="1">
        <v>15</v>
      </c>
      <c r="H63" s="1">
        <v>25</v>
      </c>
    </row>
    <row r="64" spans="1:8" x14ac:dyDescent="0.25">
      <c r="A64">
        <v>63</v>
      </c>
      <c r="B64" t="s">
        <v>34</v>
      </c>
      <c r="C64" t="s">
        <v>9</v>
      </c>
      <c r="D64">
        <v>258</v>
      </c>
      <c r="E64" s="1">
        <v>150769.95000000001</v>
      </c>
      <c r="F64" s="1">
        <v>4257.99</v>
      </c>
      <c r="G64" s="1">
        <v>8730.16</v>
      </c>
      <c r="H64" s="1">
        <v>1711.2588020000001</v>
      </c>
    </row>
    <row r="65" spans="1:8" x14ac:dyDescent="0.25">
      <c r="A65">
        <v>64</v>
      </c>
      <c r="B65" t="s">
        <v>34</v>
      </c>
      <c r="C65" t="s">
        <v>10</v>
      </c>
      <c r="D65">
        <v>258</v>
      </c>
      <c r="E65" s="1">
        <v>35838</v>
      </c>
      <c r="F65" s="1">
        <v>16.5</v>
      </c>
      <c r="G65" s="1">
        <v>63.62</v>
      </c>
      <c r="H65" s="1">
        <v>28</v>
      </c>
    </row>
    <row r="66" spans="1:8" x14ac:dyDescent="0.25">
      <c r="A66">
        <v>65</v>
      </c>
      <c r="B66" t="s">
        <v>34</v>
      </c>
      <c r="C66" t="s">
        <v>11</v>
      </c>
      <c r="D66">
        <v>258</v>
      </c>
      <c r="E66" s="1">
        <v>157766</v>
      </c>
      <c r="F66" s="1">
        <v>14.98</v>
      </c>
      <c r="G66" s="1">
        <v>59.93</v>
      </c>
      <c r="H66" s="1">
        <v>24</v>
      </c>
    </row>
    <row r="67" spans="1:8" x14ac:dyDescent="0.25">
      <c r="A67">
        <v>66</v>
      </c>
      <c r="B67" t="s">
        <v>35</v>
      </c>
      <c r="C67" t="s">
        <v>9</v>
      </c>
      <c r="D67">
        <v>258</v>
      </c>
      <c r="E67" s="1">
        <v>90407</v>
      </c>
      <c r="F67" s="1">
        <v>7.67</v>
      </c>
      <c r="G67" s="1">
        <v>28.36</v>
      </c>
      <c r="H67" s="1">
        <v>33.9</v>
      </c>
    </row>
    <row r="68" spans="1:8" x14ac:dyDescent="0.25">
      <c r="A68">
        <v>67</v>
      </c>
      <c r="B68" t="s">
        <v>35</v>
      </c>
      <c r="C68" t="s">
        <v>10</v>
      </c>
      <c r="D68">
        <v>258</v>
      </c>
      <c r="E68" s="1">
        <v>139211</v>
      </c>
      <c r="F68" s="1">
        <v>7.67</v>
      </c>
      <c r="G68" s="1">
        <v>29.15</v>
      </c>
      <c r="H68" s="1">
        <v>35.6</v>
      </c>
    </row>
    <row r="69" spans="1:8" x14ac:dyDescent="0.25">
      <c r="A69">
        <v>68</v>
      </c>
      <c r="B69" t="s">
        <v>35</v>
      </c>
      <c r="C69" t="s">
        <v>11</v>
      </c>
      <c r="D69">
        <v>258</v>
      </c>
      <c r="E69" s="1">
        <v>152093</v>
      </c>
      <c r="F69" s="1">
        <v>7.67</v>
      </c>
      <c r="G69" s="1">
        <v>31.94</v>
      </c>
      <c r="H69" s="1">
        <v>36.909999999999997</v>
      </c>
    </row>
    <row r="70" spans="1:8" x14ac:dyDescent="0.25">
      <c r="A70">
        <v>69</v>
      </c>
      <c r="B70" t="s">
        <v>36</v>
      </c>
      <c r="C70" t="s">
        <v>9</v>
      </c>
      <c r="D70">
        <v>258</v>
      </c>
      <c r="E70" s="1">
        <v>1124328</v>
      </c>
      <c r="F70" s="1">
        <v>18</v>
      </c>
      <c r="G70" s="1">
        <v>81.010000000000005</v>
      </c>
      <c r="H70" s="1">
        <v>67.77</v>
      </c>
    </row>
    <row r="71" spans="1:8" x14ac:dyDescent="0.25">
      <c r="A71">
        <v>70</v>
      </c>
      <c r="B71" t="s">
        <v>36</v>
      </c>
      <c r="C71" t="s">
        <v>10</v>
      </c>
      <c r="D71">
        <v>258</v>
      </c>
      <c r="E71" s="1">
        <v>1079223</v>
      </c>
      <c r="F71" s="1">
        <v>18</v>
      </c>
      <c r="G71" s="1">
        <v>85.19</v>
      </c>
      <c r="H71" s="1">
        <v>65.94</v>
      </c>
    </row>
    <row r="72" spans="1:8" x14ac:dyDescent="0.25">
      <c r="A72">
        <v>71</v>
      </c>
      <c r="B72" t="s">
        <v>36</v>
      </c>
      <c r="C72" t="s">
        <v>11</v>
      </c>
      <c r="D72">
        <v>258</v>
      </c>
      <c r="E72" s="1">
        <v>1089208</v>
      </c>
      <c r="F72" s="1">
        <v>22</v>
      </c>
      <c r="G72" s="1">
        <v>76.98</v>
      </c>
      <c r="H72" s="1">
        <v>58.73</v>
      </c>
    </row>
    <row r="73" spans="1:8" x14ac:dyDescent="0.25">
      <c r="A73">
        <v>72</v>
      </c>
      <c r="B73" t="s">
        <v>37</v>
      </c>
      <c r="C73" t="s">
        <v>9</v>
      </c>
      <c r="D73">
        <v>258</v>
      </c>
      <c r="E73" s="1">
        <v>20600</v>
      </c>
      <c r="F73" s="1">
        <v>4257.99</v>
      </c>
      <c r="G73" s="1">
        <v>25.35</v>
      </c>
      <c r="H73" s="1">
        <v>18.79</v>
      </c>
    </row>
    <row r="74" spans="1:8" x14ac:dyDescent="0.25">
      <c r="A74">
        <v>73</v>
      </c>
      <c r="B74" t="s">
        <v>37</v>
      </c>
      <c r="C74" t="s">
        <v>10</v>
      </c>
      <c r="D74">
        <v>258</v>
      </c>
      <c r="E74" s="1">
        <v>18200</v>
      </c>
      <c r="F74" s="1">
        <v>4257.99</v>
      </c>
      <c r="G74" s="1">
        <v>25.36</v>
      </c>
      <c r="H74" s="1">
        <v>17.96</v>
      </c>
    </row>
    <row r="75" spans="1:8" x14ac:dyDescent="0.25">
      <c r="A75">
        <v>74</v>
      </c>
      <c r="B75" t="s">
        <v>37</v>
      </c>
      <c r="C75" t="s">
        <v>11</v>
      </c>
      <c r="D75">
        <v>258</v>
      </c>
      <c r="E75" s="1">
        <v>17600</v>
      </c>
      <c r="F75" s="1">
        <v>4257.99</v>
      </c>
      <c r="G75" s="1">
        <v>26.3</v>
      </c>
      <c r="H75" s="1">
        <v>18.309999999999999</v>
      </c>
    </row>
    <row r="76" spans="1:8" x14ac:dyDescent="0.25">
      <c r="A76">
        <v>75</v>
      </c>
      <c r="B76" t="s">
        <v>38</v>
      </c>
      <c r="C76" t="s">
        <v>9</v>
      </c>
      <c r="D76">
        <v>258</v>
      </c>
      <c r="E76" s="1">
        <v>1124328</v>
      </c>
      <c r="F76" s="1">
        <v>18</v>
      </c>
      <c r="G76" s="1">
        <v>81.010000000000005</v>
      </c>
      <c r="H76" s="1">
        <v>67.77</v>
      </c>
    </row>
    <row r="77" spans="1:8" x14ac:dyDescent="0.25">
      <c r="A77">
        <v>76</v>
      </c>
      <c r="B77" t="s">
        <v>38</v>
      </c>
      <c r="C77" t="s">
        <v>10</v>
      </c>
      <c r="D77">
        <v>258</v>
      </c>
      <c r="E77" s="1">
        <v>1079223</v>
      </c>
      <c r="F77" s="1">
        <v>18</v>
      </c>
      <c r="G77" s="1">
        <v>85.19</v>
      </c>
      <c r="H77" s="1">
        <v>65.94</v>
      </c>
    </row>
    <row r="78" spans="1:8" x14ac:dyDescent="0.25">
      <c r="A78">
        <v>77</v>
      </c>
      <c r="B78" t="s">
        <v>38</v>
      </c>
      <c r="C78" t="s">
        <v>11</v>
      </c>
      <c r="D78">
        <v>258</v>
      </c>
      <c r="E78" s="1">
        <v>1089208</v>
      </c>
      <c r="F78" s="1">
        <v>22</v>
      </c>
      <c r="G78" s="1">
        <v>76.98</v>
      </c>
      <c r="H78" s="1">
        <v>58.73</v>
      </c>
    </row>
    <row r="79" spans="1:8" x14ac:dyDescent="0.25">
      <c r="A79">
        <v>78</v>
      </c>
      <c r="B79" t="s">
        <v>39</v>
      </c>
      <c r="C79" t="s">
        <v>9</v>
      </c>
      <c r="D79">
        <v>258</v>
      </c>
      <c r="E79" s="1">
        <v>18840</v>
      </c>
      <c r="F79" s="1">
        <v>11304</v>
      </c>
      <c r="G79" s="1">
        <v>22608</v>
      </c>
      <c r="H79" s="1">
        <v>45216</v>
      </c>
    </row>
    <row r="80" spans="1:8" x14ac:dyDescent="0.25">
      <c r="A80">
        <v>79</v>
      </c>
      <c r="B80" t="s">
        <v>39</v>
      </c>
      <c r="C80" t="s">
        <v>10</v>
      </c>
      <c r="D80">
        <v>258</v>
      </c>
      <c r="E80" s="1">
        <v>18840</v>
      </c>
      <c r="F80" s="1">
        <v>11304</v>
      </c>
      <c r="G80" s="1">
        <v>22608</v>
      </c>
      <c r="H80" s="1">
        <v>45216</v>
      </c>
    </row>
    <row r="81" spans="1:8" x14ac:dyDescent="0.25">
      <c r="A81">
        <v>80</v>
      </c>
      <c r="B81" t="s">
        <v>39</v>
      </c>
      <c r="C81" t="s">
        <v>11</v>
      </c>
      <c r="D81">
        <v>258</v>
      </c>
      <c r="E81" s="1">
        <v>18840</v>
      </c>
      <c r="F81" s="1">
        <v>11304</v>
      </c>
      <c r="G81" s="1">
        <v>22608</v>
      </c>
      <c r="H81" s="1">
        <v>45216</v>
      </c>
    </row>
    <row r="82" spans="1:8" x14ac:dyDescent="0.25">
      <c r="A82">
        <v>81</v>
      </c>
      <c r="B82" t="s">
        <v>40</v>
      </c>
      <c r="C82" t="s">
        <v>9</v>
      </c>
      <c r="D82">
        <v>258</v>
      </c>
      <c r="E82" s="1">
        <v>319838</v>
      </c>
      <c r="F82" s="1">
        <v>21</v>
      </c>
      <c r="G82" s="1">
        <v>34.529000000000003</v>
      </c>
      <c r="H82" s="1">
        <v>18.28</v>
      </c>
    </row>
    <row r="83" spans="1:8" x14ac:dyDescent="0.25">
      <c r="A83">
        <v>82</v>
      </c>
      <c r="B83" t="s">
        <v>40</v>
      </c>
      <c r="C83" t="s">
        <v>10</v>
      </c>
      <c r="D83">
        <v>258</v>
      </c>
      <c r="E83" s="1">
        <v>324463</v>
      </c>
      <c r="F83" s="1">
        <v>21</v>
      </c>
      <c r="G83" s="1">
        <v>38.456000000000003</v>
      </c>
      <c r="H83" s="1">
        <v>18.27</v>
      </c>
    </row>
    <row r="84" spans="1:8" x14ac:dyDescent="0.25">
      <c r="A84">
        <v>83</v>
      </c>
      <c r="B84" t="s">
        <v>40</v>
      </c>
      <c r="C84" t="s">
        <v>11</v>
      </c>
      <c r="D84">
        <v>258</v>
      </c>
      <c r="E84" s="1">
        <v>325992</v>
      </c>
      <c r="F84" s="1">
        <v>21</v>
      </c>
      <c r="G84" s="1">
        <v>45.095999999999997</v>
      </c>
      <c r="H84" s="1">
        <v>20.49</v>
      </c>
    </row>
    <row r="85" spans="1:8" x14ac:dyDescent="0.25">
      <c r="A85">
        <v>84</v>
      </c>
      <c r="B85" t="s">
        <v>41</v>
      </c>
      <c r="C85" t="s">
        <v>9</v>
      </c>
      <c r="D85">
        <v>258</v>
      </c>
      <c r="E85" s="1">
        <v>40</v>
      </c>
      <c r="F85" s="1">
        <v>30</v>
      </c>
      <c r="G85" s="1">
        <v>83</v>
      </c>
      <c r="H85" s="1">
        <v>40</v>
      </c>
    </row>
    <row r="86" spans="1:8" x14ac:dyDescent="0.25">
      <c r="A86">
        <v>85</v>
      </c>
      <c r="B86" t="s">
        <v>41</v>
      </c>
      <c r="C86" t="s">
        <v>10</v>
      </c>
      <c r="D86">
        <v>258</v>
      </c>
      <c r="E86" s="1">
        <v>35</v>
      </c>
      <c r="F86" s="1">
        <v>25</v>
      </c>
      <c r="G86" s="1">
        <v>75</v>
      </c>
      <c r="H86" s="1">
        <v>35</v>
      </c>
    </row>
    <row r="87" spans="1:8" x14ac:dyDescent="0.25">
      <c r="A87">
        <v>86</v>
      </c>
      <c r="B87" t="s">
        <v>41</v>
      </c>
      <c r="C87" t="s">
        <v>11</v>
      </c>
      <c r="D87">
        <v>258</v>
      </c>
      <c r="E87" s="1">
        <v>30</v>
      </c>
      <c r="F87" s="1">
        <v>20</v>
      </c>
      <c r="G87" s="1">
        <v>75</v>
      </c>
      <c r="H87" s="1">
        <v>35</v>
      </c>
    </row>
    <row r="88" spans="1:8" x14ac:dyDescent="0.25">
      <c r="A88">
        <v>87</v>
      </c>
      <c r="B88" t="s">
        <v>42</v>
      </c>
      <c r="C88" t="s">
        <v>9</v>
      </c>
      <c r="D88">
        <v>258</v>
      </c>
      <c r="E88" s="1">
        <v>150769.95000000001</v>
      </c>
      <c r="F88" s="1">
        <v>4257.99</v>
      </c>
      <c r="G88" s="1">
        <v>8730.16</v>
      </c>
      <c r="H88" s="1">
        <v>1711.2588020000001</v>
      </c>
    </row>
    <row r="89" spans="1:8" x14ac:dyDescent="0.25">
      <c r="A89">
        <v>88</v>
      </c>
      <c r="B89" t="s">
        <v>42</v>
      </c>
      <c r="C89" t="s">
        <v>10</v>
      </c>
      <c r="D89">
        <v>258</v>
      </c>
      <c r="E89" s="1">
        <v>6200</v>
      </c>
      <c r="F89" s="1">
        <v>190</v>
      </c>
      <c r="G89" s="1">
        <v>31.2</v>
      </c>
      <c r="H89" s="1">
        <v>18</v>
      </c>
    </row>
    <row r="90" spans="1:8" x14ac:dyDescent="0.25">
      <c r="A90">
        <v>89</v>
      </c>
      <c r="B90" t="s">
        <v>42</v>
      </c>
      <c r="C90" t="s">
        <v>11</v>
      </c>
      <c r="D90">
        <v>258</v>
      </c>
      <c r="E90" s="1">
        <v>8800</v>
      </c>
      <c r="F90" s="1">
        <v>210</v>
      </c>
      <c r="G90" s="1">
        <v>32.85</v>
      </c>
      <c r="H90" s="1">
        <v>22</v>
      </c>
    </row>
    <row r="91" spans="1:8" x14ac:dyDescent="0.25">
      <c r="A91">
        <v>90</v>
      </c>
      <c r="B91" t="s">
        <v>43</v>
      </c>
      <c r="C91" t="s">
        <v>9</v>
      </c>
      <c r="D91">
        <v>258</v>
      </c>
      <c r="E91" s="1">
        <v>1705</v>
      </c>
      <c r="F91" s="1">
        <v>1012</v>
      </c>
      <c r="G91" s="1">
        <v>32</v>
      </c>
      <c r="H91" s="1">
        <v>10</v>
      </c>
    </row>
    <row r="92" spans="1:8" x14ac:dyDescent="0.25">
      <c r="A92">
        <v>91</v>
      </c>
      <c r="B92" t="s">
        <v>43</v>
      </c>
      <c r="C92" t="s">
        <v>10</v>
      </c>
      <c r="D92">
        <v>258</v>
      </c>
      <c r="E92" s="1">
        <v>1631</v>
      </c>
      <c r="F92" s="1">
        <v>1044</v>
      </c>
      <c r="G92" s="1">
        <v>36</v>
      </c>
      <c r="H92" s="1">
        <v>12</v>
      </c>
    </row>
    <row r="93" spans="1:8" x14ac:dyDescent="0.25">
      <c r="A93">
        <v>92</v>
      </c>
      <c r="B93" t="s">
        <v>43</v>
      </c>
      <c r="C93" t="s">
        <v>11</v>
      </c>
      <c r="D93">
        <v>258</v>
      </c>
      <c r="E93" s="1">
        <v>1525</v>
      </c>
      <c r="F93" s="1">
        <v>1002</v>
      </c>
      <c r="G93" s="1">
        <v>42</v>
      </c>
      <c r="H93" s="1">
        <v>10</v>
      </c>
    </row>
    <row r="94" spans="1:8" x14ac:dyDescent="0.25">
      <c r="A94">
        <v>93</v>
      </c>
      <c r="B94" t="s">
        <v>44</v>
      </c>
      <c r="C94" t="s">
        <v>9</v>
      </c>
      <c r="D94">
        <v>258</v>
      </c>
      <c r="E94" s="1">
        <v>72180</v>
      </c>
      <c r="F94" s="1">
        <v>300</v>
      </c>
      <c r="G94" s="1">
        <v>55</v>
      </c>
      <c r="H94" s="1">
        <v>26</v>
      </c>
    </row>
    <row r="95" spans="1:8" x14ac:dyDescent="0.25">
      <c r="A95">
        <v>94</v>
      </c>
      <c r="B95" t="s">
        <v>44</v>
      </c>
      <c r="C95" t="s">
        <v>10</v>
      </c>
      <c r="D95">
        <v>258</v>
      </c>
      <c r="E95" s="1">
        <v>30363</v>
      </c>
      <c r="F95" s="1">
        <v>250</v>
      </c>
      <c r="G95" s="1">
        <v>49</v>
      </c>
      <c r="H95" s="1">
        <v>28</v>
      </c>
    </row>
    <row r="96" spans="1:8" x14ac:dyDescent="0.25">
      <c r="A96">
        <v>95</v>
      </c>
      <c r="B96" t="s">
        <v>44</v>
      </c>
      <c r="C96" t="s">
        <v>11</v>
      </c>
      <c r="D96">
        <v>258</v>
      </c>
      <c r="E96" s="1">
        <v>22121</v>
      </c>
      <c r="F96" s="1">
        <v>225</v>
      </c>
      <c r="G96" s="1">
        <v>48</v>
      </c>
      <c r="H96" s="1">
        <v>23</v>
      </c>
    </row>
    <row r="97" spans="1:8" x14ac:dyDescent="0.25">
      <c r="A97">
        <v>96</v>
      </c>
      <c r="B97" t="s">
        <v>45</v>
      </c>
      <c r="C97" t="s">
        <v>9</v>
      </c>
      <c r="D97">
        <v>258</v>
      </c>
      <c r="E97" s="1">
        <v>8709</v>
      </c>
      <c r="F97" s="1">
        <v>4.3</v>
      </c>
      <c r="G97" s="1">
        <v>38.090000000000003</v>
      </c>
      <c r="H97" s="1">
        <v>8.2899999999999991</v>
      </c>
    </row>
    <row r="98" spans="1:8" x14ac:dyDescent="0.25">
      <c r="A98">
        <v>97</v>
      </c>
      <c r="B98" t="s">
        <v>45</v>
      </c>
      <c r="C98" t="s">
        <v>10</v>
      </c>
      <c r="D98">
        <v>258</v>
      </c>
      <c r="E98" s="1">
        <v>82266</v>
      </c>
      <c r="F98" s="1">
        <v>6</v>
      </c>
      <c r="G98" s="1">
        <v>35.97</v>
      </c>
      <c r="H98" s="1">
        <v>14.55</v>
      </c>
    </row>
    <row r="99" spans="1:8" x14ac:dyDescent="0.25">
      <c r="A99">
        <v>98</v>
      </c>
      <c r="B99" t="s">
        <v>45</v>
      </c>
      <c r="C99" t="s">
        <v>11</v>
      </c>
      <c r="D99">
        <v>258</v>
      </c>
      <c r="E99" s="1">
        <v>80077</v>
      </c>
      <c r="F99" s="1">
        <v>5.9</v>
      </c>
      <c r="G99" s="1">
        <v>36.32</v>
      </c>
      <c r="H99" s="1">
        <v>12.45</v>
      </c>
    </row>
    <row r="100" spans="1:8" x14ac:dyDescent="0.25">
      <c r="A100">
        <v>99</v>
      </c>
      <c r="B100" t="s">
        <v>46</v>
      </c>
      <c r="C100" t="s">
        <v>9</v>
      </c>
      <c r="D100">
        <v>258</v>
      </c>
      <c r="E100" s="1">
        <v>85000</v>
      </c>
      <c r="F100" s="1">
        <v>30</v>
      </c>
      <c r="G100" s="1">
        <v>31</v>
      </c>
      <c r="H100" s="1">
        <v>23</v>
      </c>
    </row>
    <row r="101" spans="1:8" x14ac:dyDescent="0.25">
      <c r="A101">
        <v>100</v>
      </c>
      <c r="B101" t="s">
        <v>46</v>
      </c>
      <c r="C101" t="s">
        <v>10</v>
      </c>
      <c r="D101">
        <v>258</v>
      </c>
      <c r="E101" s="1">
        <v>80000</v>
      </c>
      <c r="F101" s="1">
        <v>30</v>
      </c>
      <c r="G101" s="1">
        <v>35</v>
      </c>
      <c r="H101" s="1">
        <v>24</v>
      </c>
    </row>
    <row r="102" spans="1:8" x14ac:dyDescent="0.25">
      <c r="A102">
        <v>101</v>
      </c>
      <c r="B102" t="s">
        <v>46</v>
      </c>
      <c r="C102" t="s">
        <v>11</v>
      </c>
      <c r="D102">
        <v>258</v>
      </c>
      <c r="E102" s="1">
        <v>76000</v>
      </c>
      <c r="F102" s="1">
        <v>32</v>
      </c>
      <c r="G102" s="1">
        <v>40</v>
      </c>
      <c r="H102" s="1">
        <v>29</v>
      </c>
    </row>
    <row r="103" spans="1:8" x14ac:dyDescent="0.25">
      <c r="A103">
        <v>102</v>
      </c>
      <c r="B103" t="s">
        <v>47</v>
      </c>
      <c r="C103" t="s">
        <v>9</v>
      </c>
      <c r="D103">
        <v>258</v>
      </c>
      <c r="E103" s="1">
        <v>332453</v>
      </c>
      <c r="F103" s="1">
        <v>22.42</v>
      </c>
      <c r="G103" s="1">
        <v>30.36</v>
      </c>
      <c r="H103" s="1">
        <v>27.91</v>
      </c>
    </row>
    <row r="104" spans="1:8" x14ac:dyDescent="0.25">
      <c r="A104">
        <v>103</v>
      </c>
      <c r="B104" t="s">
        <v>47</v>
      </c>
      <c r="C104" t="s">
        <v>10</v>
      </c>
      <c r="D104">
        <v>258</v>
      </c>
      <c r="E104" s="1">
        <v>329111</v>
      </c>
      <c r="F104" s="1">
        <v>23.03</v>
      </c>
      <c r="G104" s="1">
        <v>33.880000000000003</v>
      </c>
      <c r="H104" s="1">
        <v>31.55</v>
      </c>
    </row>
    <row r="105" spans="1:8" x14ac:dyDescent="0.25">
      <c r="A105">
        <v>104</v>
      </c>
      <c r="B105" t="s">
        <v>47</v>
      </c>
      <c r="C105" t="s">
        <v>11</v>
      </c>
      <c r="D105">
        <v>258</v>
      </c>
      <c r="E105" s="1">
        <v>263254</v>
      </c>
      <c r="F105" s="1">
        <v>28.81</v>
      </c>
      <c r="G105" s="1">
        <v>38.43</v>
      </c>
      <c r="H105" s="1">
        <v>34.450000000000003</v>
      </c>
    </row>
    <row r="106" spans="1:8" x14ac:dyDescent="0.25">
      <c r="A106">
        <v>105</v>
      </c>
      <c r="B106" t="s">
        <v>48</v>
      </c>
      <c r="C106" t="s">
        <v>9</v>
      </c>
      <c r="D106">
        <v>258</v>
      </c>
      <c r="E106" s="1">
        <v>96000</v>
      </c>
      <c r="F106" s="1">
        <v>35</v>
      </c>
      <c r="G106" s="1">
        <v>0.55000000000000004</v>
      </c>
      <c r="H106" s="1">
        <v>19.05</v>
      </c>
    </row>
    <row r="107" spans="1:8" x14ac:dyDescent="0.25">
      <c r="A107">
        <v>106</v>
      </c>
      <c r="B107" t="s">
        <v>48</v>
      </c>
      <c r="C107" t="s">
        <v>10</v>
      </c>
      <c r="D107">
        <v>258</v>
      </c>
      <c r="E107" s="1">
        <v>96640</v>
      </c>
      <c r="F107" s="1">
        <v>35</v>
      </c>
      <c r="G107" s="1">
        <v>0.57999999999999996</v>
      </c>
      <c r="H107" s="1">
        <v>21.78</v>
      </c>
    </row>
    <row r="108" spans="1:8" x14ac:dyDescent="0.25">
      <c r="A108">
        <v>107</v>
      </c>
      <c r="B108" t="s">
        <v>48</v>
      </c>
      <c r="C108" t="s">
        <v>11</v>
      </c>
      <c r="D108">
        <v>258</v>
      </c>
      <c r="E108" s="1">
        <v>96640</v>
      </c>
      <c r="F108" s="1">
        <v>35</v>
      </c>
      <c r="G108" s="1">
        <v>0.57999999999999996</v>
      </c>
      <c r="H108" s="1">
        <v>27.61</v>
      </c>
    </row>
    <row r="109" spans="1:8" x14ac:dyDescent="0.25">
      <c r="A109">
        <v>108</v>
      </c>
      <c r="B109" t="s">
        <v>49</v>
      </c>
      <c r="C109" t="s">
        <v>9</v>
      </c>
      <c r="D109">
        <v>258</v>
      </c>
      <c r="E109" s="1">
        <v>36000</v>
      </c>
      <c r="F109" s="1">
        <v>11.87</v>
      </c>
      <c r="G109" s="1">
        <v>119.7</v>
      </c>
      <c r="H109" s="1">
        <v>90</v>
      </c>
    </row>
    <row r="110" spans="1:8" x14ac:dyDescent="0.25">
      <c r="A110">
        <v>109</v>
      </c>
      <c r="B110" t="s">
        <v>49</v>
      </c>
      <c r="C110" t="s">
        <v>10</v>
      </c>
      <c r="D110">
        <v>258</v>
      </c>
      <c r="E110" s="1">
        <v>150769.95000000001</v>
      </c>
      <c r="F110" s="1">
        <v>4257.99</v>
      </c>
      <c r="G110" s="1">
        <v>8730.16</v>
      </c>
      <c r="H110" s="1">
        <v>1711.2588020000001</v>
      </c>
    </row>
    <row r="111" spans="1:8" x14ac:dyDescent="0.25">
      <c r="A111">
        <v>110</v>
      </c>
      <c r="B111" t="s">
        <v>49</v>
      </c>
      <c r="C111" t="s">
        <v>11</v>
      </c>
      <c r="D111">
        <v>258</v>
      </c>
      <c r="E111" s="1">
        <v>150769.95000000001</v>
      </c>
      <c r="F111" s="1">
        <v>4257.99</v>
      </c>
      <c r="G111" s="1">
        <v>8730.16</v>
      </c>
      <c r="H111" s="1">
        <v>1711.2588020000001</v>
      </c>
    </row>
    <row r="112" spans="1:8" x14ac:dyDescent="0.25">
      <c r="A112">
        <v>111</v>
      </c>
      <c r="B112" t="s">
        <v>50</v>
      </c>
      <c r="C112" t="s">
        <v>9</v>
      </c>
      <c r="D112">
        <v>258</v>
      </c>
      <c r="E112" s="1">
        <v>160000</v>
      </c>
      <c r="F112" s="1">
        <v>4257.99</v>
      </c>
      <c r="G112" s="1">
        <v>28.86</v>
      </c>
      <c r="H112" s="1">
        <v>19.920000000000002</v>
      </c>
    </row>
    <row r="113" spans="1:8" x14ac:dyDescent="0.25">
      <c r="A113">
        <v>112</v>
      </c>
      <c r="B113" t="s">
        <v>50</v>
      </c>
      <c r="C113" t="s">
        <v>10</v>
      </c>
      <c r="D113">
        <v>258</v>
      </c>
      <c r="E113" s="1">
        <v>166000</v>
      </c>
      <c r="F113" s="1">
        <v>4257.99</v>
      </c>
      <c r="G113" s="1">
        <v>31.13</v>
      </c>
      <c r="H113" s="1">
        <v>20.51</v>
      </c>
    </row>
    <row r="114" spans="1:8" x14ac:dyDescent="0.25">
      <c r="A114">
        <v>113</v>
      </c>
      <c r="B114" t="s">
        <v>50</v>
      </c>
      <c r="C114" t="s">
        <v>11</v>
      </c>
      <c r="D114">
        <v>258</v>
      </c>
      <c r="E114" s="1">
        <v>175000</v>
      </c>
      <c r="F114" s="1">
        <v>4257.99</v>
      </c>
      <c r="G114" s="1">
        <v>38.78</v>
      </c>
      <c r="H114" s="1">
        <v>22.8</v>
      </c>
    </row>
    <row r="115" spans="1:8" x14ac:dyDescent="0.25">
      <c r="A115">
        <v>114</v>
      </c>
      <c r="B115" t="s">
        <v>51</v>
      </c>
      <c r="C115" t="s">
        <v>9</v>
      </c>
      <c r="D115">
        <v>258</v>
      </c>
      <c r="E115" s="1">
        <v>45000</v>
      </c>
      <c r="F115" s="1">
        <v>13750</v>
      </c>
      <c r="G115" s="1">
        <v>18</v>
      </c>
      <c r="H115" s="1">
        <v>12</v>
      </c>
    </row>
    <row r="116" spans="1:8" x14ac:dyDescent="0.25">
      <c r="A116">
        <v>115</v>
      </c>
      <c r="B116" t="s">
        <v>51</v>
      </c>
      <c r="C116" t="s">
        <v>10</v>
      </c>
      <c r="D116">
        <v>258</v>
      </c>
      <c r="E116" s="1">
        <v>45000</v>
      </c>
      <c r="F116" s="1">
        <v>13750</v>
      </c>
      <c r="G116" s="1">
        <v>19</v>
      </c>
      <c r="H116" s="1">
        <v>14</v>
      </c>
    </row>
    <row r="117" spans="1:8" x14ac:dyDescent="0.25">
      <c r="A117">
        <v>116</v>
      </c>
      <c r="B117" t="s">
        <v>51</v>
      </c>
      <c r="C117" t="s">
        <v>11</v>
      </c>
      <c r="D117">
        <v>258</v>
      </c>
      <c r="E117" s="1">
        <v>115000</v>
      </c>
      <c r="F117" s="1">
        <v>30000</v>
      </c>
      <c r="G117" s="1">
        <v>28</v>
      </c>
      <c r="H117" s="1">
        <v>30</v>
      </c>
    </row>
    <row r="118" spans="1:8" x14ac:dyDescent="0.25">
      <c r="A118">
        <v>117</v>
      </c>
      <c r="B118" t="s">
        <v>52</v>
      </c>
      <c r="C118" t="s">
        <v>9</v>
      </c>
      <c r="D118">
        <v>258</v>
      </c>
      <c r="E118" s="1">
        <v>15068</v>
      </c>
      <c r="F118" s="1">
        <v>38.200000000000003</v>
      </c>
      <c r="G118" s="1">
        <v>21.33</v>
      </c>
      <c r="H118" s="1">
        <v>20.07</v>
      </c>
    </row>
    <row r="119" spans="1:8" x14ac:dyDescent="0.25">
      <c r="A119">
        <v>118</v>
      </c>
      <c r="B119" t="s">
        <v>52</v>
      </c>
      <c r="C119" t="s">
        <v>10</v>
      </c>
      <c r="D119">
        <v>258</v>
      </c>
      <c r="E119" s="1">
        <v>13205</v>
      </c>
      <c r="F119" s="1">
        <v>38.380000000000003</v>
      </c>
      <c r="G119" s="1">
        <v>22.37</v>
      </c>
      <c r="H119" s="1">
        <v>21.1</v>
      </c>
    </row>
    <row r="120" spans="1:8" x14ac:dyDescent="0.25">
      <c r="A120">
        <v>119</v>
      </c>
      <c r="B120" t="s">
        <v>52</v>
      </c>
      <c r="C120" t="s">
        <v>11</v>
      </c>
      <c r="D120">
        <v>258</v>
      </c>
      <c r="E120" s="1">
        <v>12792</v>
      </c>
      <c r="F120" s="1">
        <v>37.119999999999997</v>
      </c>
      <c r="G120" s="1">
        <v>23.46</v>
      </c>
      <c r="H120" s="1">
        <v>20.010000000000002</v>
      </c>
    </row>
    <row r="121" spans="1:8" x14ac:dyDescent="0.25">
      <c r="A121">
        <v>120</v>
      </c>
      <c r="B121" t="s">
        <v>53</v>
      </c>
      <c r="C121" t="s">
        <v>9</v>
      </c>
      <c r="D121">
        <v>258</v>
      </c>
      <c r="E121" s="1">
        <v>269257</v>
      </c>
      <c r="F121" s="1">
        <v>20</v>
      </c>
      <c r="G121" s="1">
        <v>39.56</v>
      </c>
      <c r="H121" s="1">
        <v>34.869999999999997</v>
      </c>
    </row>
    <row r="122" spans="1:8" x14ac:dyDescent="0.25">
      <c r="A122">
        <v>121</v>
      </c>
      <c r="B122" t="s">
        <v>53</v>
      </c>
      <c r="C122" t="s">
        <v>10</v>
      </c>
      <c r="D122">
        <v>258</v>
      </c>
      <c r="E122" s="1">
        <v>279798</v>
      </c>
      <c r="F122" s="1">
        <v>20</v>
      </c>
      <c r="G122" s="1">
        <v>42.87</v>
      </c>
      <c r="H122" s="1">
        <v>36.590000000000003</v>
      </c>
    </row>
    <row r="123" spans="1:8" x14ac:dyDescent="0.25">
      <c r="A123">
        <v>122</v>
      </c>
      <c r="B123" t="s">
        <v>53</v>
      </c>
      <c r="C123" t="s">
        <v>11</v>
      </c>
      <c r="D123">
        <v>258</v>
      </c>
      <c r="E123" s="1">
        <v>304848</v>
      </c>
      <c r="F123" s="1">
        <v>20</v>
      </c>
      <c r="G123" s="1">
        <v>43.92</v>
      </c>
      <c r="H123" s="1">
        <v>40.21</v>
      </c>
    </row>
    <row r="124" spans="1:8" x14ac:dyDescent="0.25">
      <c r="A124">
        <v>123</v>
      </c>
      <c r="B124" t="s">
        <v>54</v>
      </c>
      <c r="C124" t="s">
        <v>9</v>
      </c>
      <c r="D124">
        <v>258</v>
      </c>
      <c r="E124" s="1">
        <v>8.2200000000000006</v>
      </c>
      <c r="F124" s="1">
        <v>3.53</v>
      </c>
      <c r="G124" s="1">
        <v>33.5</v>
      </c>
      <c r="H124" s="1">
        <v>31.11</v>
      </c>
    </row>
    <row r="125" spans="1:8" x14ac:dyDescent="0.25">
      <c r="A125">
        <v>124</v>
      </c>
      <c r="B125" t="s">
        <v>54</v>
      </c>
      <c r="C125" t="s">
        <v>10</v>
      </c>
      <c r="D125">
        <v>258</v>
      </c>
      <c r="E125" s="1">
        <v>8.32</v>
      </c>
      <c r="F125" s="1">
        <v>3.65</v>
      </c>
      <c r="G125" s="1">
        <v>33.81</v>
      </c>
      <c r="H125" s="1">
        <v>31.03</v>
      </c>
    </row>
    <row r="126" spans="1:8" x14ac:dyDescent="0.25">
      <c r="A126">
        <v>125</v>
      </c>
      <c r="B126" t="s">
        <v>54</v>
      </c>
      <c r="C126" t="s">
        <v>11</v>
      </c>
      <c r="D126">
        <v>258</v>
      </c>
      <c r="E126" s="1">
        <v>9.5399999999999991</v>
      </c>
      <c r="F126" s="1">
        <v>3.85</v>
      </c>
      <c r="G126" s="1">
        <v>34.58</v>
      </c>
      <c r="H126" s="1">
        <v>33.57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A18" sqref="A18:C22"/>
    </sheetView>
  </sheetViews>
  <sheetFormatPr defaultRowHeight="15" x14ac:dyDescent="0.25"/>
  <cols>
    <col min="1" max="1" width="24" bestFit="1" customWidth="1"/>
    <col min="2" max="2" width="12.7109375" bestFit="1" customWidth="1"/>
    <col min="3" max="3" width="42.7109375" bestFit="1" customWidth="1"/>
    <col min="4" max="4" width="12" bestFit="1" customWidth="1"/>
    <col min="5" max="5" width="30.42578125" bestFit="1" customWidth="1"/>
    <col min="6" max="6" width="12" bestFit="1" customWidth="1"/>
    <col min="7" max="7" width="34.42578125" bestFit="1" customWidth="1"/>
    <col min="8" max="8" width="12" bestFit="1" customWidth="1"/>
    <col min="9" max="9" width="24.140625" bestFit="1" customWidth="1"/>
    <col min="10" max="10" width="12" bestFit="1" customWidth="1"/>
  </cols>
  <sheetData>
    <row r="1" spans="1:10" x14ac:dyDescent="0.25">
      <c r="A1" s="6" t="s">
        <v>3</v>
      </c>
      <c r="B1" s="6"/>
      <c r="C1" s="6" t="s">
        <v>4</v>
      </c>
      <c r="D1" s="6"/>
      <c r="E1" s="6" t="s">
        <v>5</v>
      </c>
      <c r="F1" s="6"/>
      <c r="G1" s="6" t="s">
        <v>6</v>
      </c>
      <c r="H1" s="6"/>
      <c r="I1" s="6" t="s">
        <v>7</v>
      </c>
      <c r="J1" s="6"/>
    </row>
    <row r="2" spans="1:10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A3" s="4" t="s">
        <v>59</v>
      </c>
      <c r="B3" s="4">
        <v>257.89600000000002</v>
      </c>
      <c r="C3" s="4" t="s">
        <v>59</v>
      </c>
      <c r="D3" s="4">
        <v>150769.95335999998</v>
      </c>
      <c r="E3" s="4" t="s">
        <v>59</v>
      </c>
      <c r="F3" s="4">
        <v>4257.9890399999995</v>
      </c>
      <c r="G3" s="4" t="s">
        <v>59</v>
      </c>
      <c r="H3" s="4">
        <v>8730.1566911360042</v>
      </c>
      <c r="I3" s="4" t="s">
        <v>59</v>
      </c>
      <c r="J3" s="4">
        <v>1711.2588020079995</v>
      </c>
    </row>
    <row r="4" spans="1:10" x14ac:dyDescent="0.25">
      <c r="A4" s="4" t="s">
        <v>60</v>
      </c>
      <c r="B4" s="4">
        <v>0.10400000000000034</v>
      </c>
      <c r="C4" s="4" t="s">
        <v>60</v>
      </c>
      <c r="D4" s="4">
        <v>24723.036703179816</v>
      </c>
      <c r="E4" s="4" t="s">
        <v>60</v>
      </c>
      <c r="F4" s="4">
        <v>759.72879932668479</v>
      </c>
      <c r="G4" s="4" t="s">
        <v>60</v>
      </c>
      <c r="H4" s="4">
        <v>4037.1505413062669</v>
      </c>
      <c r="I4" s="4" t="s">
        <v>60</v>
      </c>
      <c r="J4" s="4">
        <v>657.38160685792525</v>
      </c>
    </row>
    <row r="5" spans="1:10" x14ac:dyDescent="0.25">
      <c r="A5" s="4" t="s">
        <v>61</v>
      </c>
      <c r="B5" s="4">
        <v>258</v>
      </c>
      <c r="C5" s="4" t="s">
        <v>61</v>
      </c>
      <c r="D5" s="4">
        <v>38000</v>
      </c>
      <c r="E5" s="4" t="s">
        <v>61</v>
      </c>
      <c r="F5" s="4">
        <v>45</v>
      </c>
      <c r="G5" s="4" t="s">
        <v>61</v>
      </c>
      <c r="H5" s="4">
        <v>36.840000000000003</v>
      </c>
      <c r="I5" s="4" t="s">
        <v>61</v>
      </c>
      <c r="J5" s="4">
        <v>28</v>
      </c>
    </row>
    <row r="6" spans="1:10" x14ac:dyDescent="0.25">
      <c r="A6" s="4" t="s">
        <v>62</v>
      </c>
      <c r="B6" s="4">
        <v>258</v>
      </c>
      <c r="C6" s="4" t="s">
        <v>62</v>
      </c>
      <c r="D6" s="4">
        <v>150769.95000000001</v>
      </c>
      <c r="E6" s="4" t="s">
        <v>62</v>
      </c>
      <c r="F6" s="4">
        <v>4257.99</v>
      </c>
      <c r="G6" s="4" t="s">
        <v>62</v>
      </c>
      <c r="H6" s="4">
        <v>8730.16</v>
      </c>
      <c r="I6" s="4" t="s">
        <v>62</v>
      </c>
      <c r="J6" s="4">
        <v>1711.2588020000001</v>
      </c>
    </row>
    <row r="7" spans="1:10" x14ac:dyDescent="0.25">
      <c r="A7" s="4" t="s">
        <v>63</v>
      </c>
      <c r="B7" s="4">
        <v>1.1627553482998945</v>
      </c>
      <c r="C7" s="4" t="s">
        <v>63</v>
      </c>
      <c r="D7" s="4">
        <v>276411.95339266182</v>
      </c>
      <c r="E7" s="4" t="s">
        <v>63</v>
      </c>
      <c r="F7" s="4">
        <v>8494.0261987938193</v>
      </c>
      <c r="G7" s="4" t="s">
        <v>63</v>
      </c>
      <c r="H7" s="4">
        <v>45136.715228804431</v>
      </c>
      <c r="I7" s="4" t="s">
        <v>63</v>
      </c>
      <c r="J7" s="4">
        <v>7349.7498004618137</v>
      </c>
    </row>
    <row r="8" spans="1:10" x14ac:dyDescent="0.25">
      <c r="A8" s="4" t="s">
        <v>64</v>
      </c>
      <c r="B8" s="4">
        <v>1.3520000000000088</v>
      </c>
      <c r="C8" s="4" t="s">
        <v>64</v>
      </c>
      <c r="D8" s="4">
        <v>76403567978.347061</v>
      </c>
      <c r="E8" s="4" t="s">
        <v>64</v>
      </c>
      <c r="F8" s="4">
        <v>72148481.065795764</v>
      </c>
      <c r="G8" s="4" t="s">
        <v>64</v>
      </c>
      <c r="H8" s="4">
        <v>2037323061.6461856</v>
      </c>
      <c r="I8" s="4" t="s">
        <v>64</v>
      </c>
      <c r="J8" s="4">
        <v>54018822.129388474</v>
      </c>
    </row>
    <row r="9" spans="1:10" x14ac:dyDescent="0.25">
      <c r="A9" s="4" t="s">
        <v>65</v>
      </c>
      <c r="B9" s="4">
        <v>124.99999999999878</v>
      </c>
      <c r="C9" s="4" t="s">
        <v>65</v>
      </c>
      <c r="D9" s="4">
        <v>6.0791527700099106</v>
      </c>
      <c r="E9" s="4" t="s">
        <v>65</v>
      </c>
      <c r="F9" s="4">
        <v>5.4237997440715091</v>
      </c>
      <c r="G9" s="4" t="s">
        <v>65</v>
      </c>
      <c r="H9" s="4">
        <v>37.887367304375204</v>
      </c>
      <c r="I9" s="4" t="s">
        <v>65</v>
      </c>
      <c r="J9" s="4">
        <v>29.417226596369897</v>
      </c>
    </row>
    <row r="10" spans="1:10" x14ac:dyDescent="0.25">
      <c r="A10" s="4" t="s">
        <v>66</v>
      </c>
      <c r="B10" s="4">
        <v>-11.180339887498983</v>
      </c>
      <c r="C10" s="4" t="s">
        <v>66</v>
      </c>
      <c r="D10" s="4">
        <v>2.6330200089655627</v>
      </c>
      <c r="E10" s="4" t="s">
        <v>66</v>
      </c>
      <c r="F10" s="4">
        <v>2.4083045352321091</v>
      </c>
      <c r="G10" s="4" t="s">
        <v>66</v>
      </c>
      <c r="H10" s="4">
        <v>6.230766312960232</v>
      </c>
      <c r="I10" s="4" t="s">
        <v>66</v>
      </c>
      <c r="J10" s="4">
        <v>5.4527670907044108</v>
      </c>
    </row>
    <row r="11" spans="1:10" x14ac:dyDescent="0.25">
      <c r="A11" s="4" t="s">
        <v>67</v>
      </c>
      <c r="B11" s="4">
        <v>13</v>
      </c>
      <c r="C11" s="4" t="s">
        <v>67</v>
      </c>
      <c r="D11" s="4">
        <v>1124328</v>
      </c>
      <c r="E11" s="4" t="s">
        <v>67</v>
      </c>
      <c r="F11" s="4">
        <v>37396.47</v>
      </c>
      <c r="G11" s="4" t="s">
        <v>67</v>
      </c>
      <c r="H11" s="4">
        <v>305809.57</v>
      </c>
      <c r="I11" s="4" t="s">
        <v>67</v>
      </c>
      <c r="J11" s="4">
        <v>45211</v>
      </c>
    </row>
    <row r="12" spans="1:10" x14ac:dyDescent="0.25">
      <c r="A12" s="4" t="s">
        <v>68</v>
      </c>
      <c r="B12" s="4">
        <v>245</v>
      </c>
      <c r="C12" s="4" t="s">
        <v>68</v>
      </c>
      <c r="D12" s="4">
        <v>0</v>
      </c>
      <c r="E12" s="4" t="s">
        <v>68</v>
      </c>
      <c r="F12" s="4">
        <v>3.53</v>
      </c>
      <c r="G12" s="4" t="s">
        <v>68</v>
      </c>
      <c r="H12" s="4">
        <v>0.43</v>
      </c>
      <c r="I12" s="4" t="s">
        <v>68</v>
      </c>
      <c r="J12" s="4">
        <v>5</v>
      </c>
    </row>
    <row r="13" spans="1:10" x14ac:dyDescent="0.25">
      <c r="A13" s="4" t="s">
        <v>69</v>
      </c>
      <c r="B13" s="4">
        <v>258</v>
      </c>
      <c r="C13" s="4" t="s">
        <v>69</v>
      </c>
      <c r="D13" s="4">
        <v>1124328</v>
      </c>
      <c r="E13" s="4" t="s">
        <v>69</v>
      </c>
      <c r="F13" s="4">
        <v>37400</v>
      </c>
      <c r="G13" s="4" t="s">
        <v>69</v>
      </c>
      <c r="H13" s="4">
        <v>305810</v>
      </c>
      <c r="I13" s="4" t="s">
        <v>69</v>
      </c>
      <c r="J13" s="4">
        <v>45216</v>
      </c>
    </row>
    <row r="14" spans="1:10" x14ac:dyDescent="0.25">
      <c r="A14" s="4" t="s">
        <v>70</v>
      </c>
      <c r="B14" s="4">
        <v>32237</v>
      </c>
      <c r="C14" s="4" t="s">
        <v>70</v>
      </c>
      <c r="D14" s="4">
        <v>18846244.169999998</v>
      </c>
      <c r="E14" s="4" t="s">
        <v>70</v>
      </c>
      <c r="F14" s="4">
        <v>532248.62999999989</v>
      </c>
      <c r="G14" s="4" t="s">
        <v>70</v>
      </c>
      <c r="H14" s="4">
        <v>1091269.5863920006</v>
      </c>
      <c r="I14" s="4" t="s">
        <v>70</v>
      </c>
      <c r="J14" s="4">
        <v>213907.35025099994</v>
      </c>
    </row>
    <row r="15" spans="1:10" ht="15.75" thickBot="1" x14ac:dyDescent="0.3">
      <c r="A15" s="5" t="s">
        <v>71</v>
      </c>
      <c r="B15" s="5">
        <v>125</v>
      </c>
      <c r="C15" s="5" t="s">
        <v>71</v>
      </c>
      <c r="D15" s="5">
        <v>125</v>
      </c>
      <c r="E15" s="5" t="s">
        <v>71</v>
      </c>
      <c r="F15" s="5">
        <v>125</v>
      </c>
      <c r="G15" s="5" t="s">
        <v>71</v>
      </c>
      <c r="H15" s="5">
        <v>125</v>
      </c>
      <c r="I15" s="5" t="s">
        <v>71</v>
      </c>
      <c r="J15" s="5">
        <v>125</v>
      </c>
    </row>
    <row r="18" spans="1:3" x14ac:dyDescent="0.25">
      <c r="A18" s="2" t="s">
        <v>55</v>
      </c>
      <c r="B18" s="2"/>
      <c r="C18" s="3">
        <f>AVERAGE('Earning from bus station'!E:E)</f>
        <v>150769.95335999998</v>
      </c>
    </row>
    <row r="19" spans="1:3" x14ac:dyDescent="0.25">
      <c r="A19" s="2" t="s">
        <v>56</v>
      </c>
      <c r="B19" s="2"/>
      <c r="C19" s="3">
        <f>AVERAGE('Earning from bus station'!F:F)</f>
        <v>4257.9890399999995</v>
      </c>
    </row>
    <row r="20" spans="1:3" x14ac:dyDescent="0.25">
      <c r="A20" s="2" t="s">
        <v>57</v>
      </c>
      <c r="B20" s="2"/>
      <c r="C20" s="3">
        <f>AVERAGE('Earning from bus station'!G:G)</f>
        <v>8730.1566911360042</v>
      </c>
    </row>
    <row r="21" spans="1:3" x14ac:dyDescent="0.25">
      <c r="A21" s="2" t="s">
        <v>58</v>
      </c>
      <c r="B21" s="2"/>
      <c r="C21" s="2">
        <f>AVERAGE('Earning from bus station'!H:H)</f>
        <v>1711.2588020079995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2"/>
  <sheetViews>
    <sheetView topLeftCell="A15" workbookViewId="0">
      <selection activeCell="G32" sqref="G32"/>
    </sheetView>
  </sheetViews>
  <sheetFormatPr defaultRowHeight="15" x14ac:dyDescent="0.25"/>
  <cols>
    <col min="1" max="1" width="13.140625" customWidth="1"/>
    <col min="2" max="2" width="11.7109375" customWidth="1"/>
    <col min="3" max="3" width="31.42578125" customWidth="1"/>
    <col min="4" max="4" width="41.28515625" customWidth="1"/>
  </cols>
  <sheetData>
    <row r="2" spans="1:4" x14ac:dyDescent="0.25">
      <c r="A2" s="7" t="s">
        <v>72</v>
      </c>
      <c r="B2" t="s">
        <v>73</v>
      </c>
    </row>
    <row r="3" spans="1:4" x14ac:dyDescent="0.25">
      <c r="A3" s="8" t="s">
        <v>9</v>
      </c>
      <c r="B3" s="9">
        <v>6283828.2199999997</v>
      </c>
    </row>
    <row r="4" spans="1:4" x14ac:dyDescent="0.25">
      <c r="A4" s="8" t="s">
        <v>10</v>
      </c>
      <c r="B4" s="9">
        <v>6080242.7800000003</v>
      </c>
    </row>
    <row r="5" spans="1:4" x14ac:dyDescent="0.25">
      <c r="A5" s="8" t="s">
        <v>11</v>
      </c>
      <c r="B5" s="9">
        <v>6414173.1699999999</v>
      </c>
    </row>
    <row r="6" spans="1:4" x14ac:dyDescent="0.25">
      <c r="A6" s="8" t="s">
        <v>19</v>
      </c>
      <c r="B6" s="9">
        <v>68000</v>
      </c>
    </row>
    <row r="7" spans="1:4" x14ac:dyDescent="0.25">
      <c r="A7" s="8" t="s">
        <v>74</v>
      </c>
      <c r="B7" s="9">
        <v>18846244.170000002</v>
      </c>
    </row>
    <row r="9" spans="1:4" x14ac:dyDescent="0.25">
      <c r="A9" s="7" t="s">
        <v>72</v>
      </c>
      <c r="B9" t="s">
        <v>75</v>
      </c>
    </row>
    <row r="10" spans="1:4" x14ac:dyDescent="0.25">
      <c r="A10" s="8" t="s">
        <v>9</v>
      </c>
      <c r="B10" s="9">
        <v>142905.15000000002</v>
      </c>
    </row>
    <row r="11" spans="1:4" x14ac:dyDescent="0.25">
      <c r="A11" s="8" t="s">
        <v>10</v>
      </c>
      <c r="B11" s="9">
        <v>168789.42999999996</v>
      </c>
    </row>
    <row r="12" spans="1:4" x14ac:dyDescent="0.25">
      <c r="A12" s="8" t="s">
        <v>11</v>
      </c>
      <c r="B12" s="9">
        <v>184554.05</v>
      </c>
    </row>
    <row r="13" spans="1:4" x14ac:dyDescent="0.25">
      <c r="A13" s="8" t="s">
        <v>19</v>
      </c>
      <c r="B13" s="9">
        <v>36000</v>
      </c>
    </row>
    <row r="14" spans="1:4" x14ac:dyDescent="0.25">
      <c r="A14" s="8" t="s">
        <v>74</v>
      </c>
      <c r="B14" s="9">
        <v>532248.62999999989</v>
      </c>
    </row>
    <row r="16" spans="1:4" x14ac:dyDescent="0.25">
      <c r="A16" s="7" t="s">
        <v>72</v>
      </c>
      <c r="B16" t="s">
        <v>76</v>
      </c>
      <c r="C16" t="s">
        <v>77</v>
      </c>
      <c r="D16" t="s">
        <v>78</v>
      </c>
    </row>
    <row r="17" spans="1:4" x14ac:dyDescent="0.25">
      <c r="A17" s="8" t="s">
        <v>9</v>
      </c>
      <c r="B17" s="9">
        <v>373942.89108699979</v>
      </c>
      <c r="C17" s="9">
        <v>62352.554356000008</v>
      </c>
      <c r="D17" s="9">
        <v>40</v>
      </c>
    </row>
    <row r="18" spans="1:4" x14ac:dyDescent="0.25">
      <c r="A18" s="8" t="s">
        <v>10</v>
      </c>
      <c r="B18" s="9">
        <v>338143.54513099988</v>
      </c>
      <c r="C18" s="9">
        <v>88191.672116000002</v>
      </c>
      <c r="D18" s="9">
        <v>42</v>
      </c>
    </row>
    <row r="19" spans="1:4" x14ac:dyDescent="0.25">
      <c r="A19" s="8" t="s">
        <v>11</v>
      </c>
      <c r="B19" s="9">
        <v>370452.99017399986</v>
      </c>
      <c r="C19" s="9">
        <v>63338.123778999994</v>
      </c>
      <c r="D19" s="9">
        <v>42</v>
      </c>
    </row>
    <row r="20" spans="1:4" x14ac:dyDescent="0.25">
      <c r="A20" s="8" t="s">
        <v>19</v>
      </c>
      <c r="B20" s="9">
        <v>8730.16</v>
      </c>
      <c r="C20" s="9">
        <v>25</v>
      </c>
      <c r="D20" s="9">
        <v>1</v>
      </c>
    </row>
    <row r="21" spans="1:4" x14ac:dyDescent="0.25">
      <c r="A21" s="8" t="s">
        <v>74</v>
      </c>
      <c r="B21" s="9">
        <v>1091269.5863919994</v>
      </c>
      <c r="C21" s="9">
        <v>213907.350251</v>
      </c>
      <c r="D21" s="9">
        <v>125</v>
      </c>
    </row>
    <row r="23" spans="1:4" x14ac:dyDescent="0.25">
      <c r="A23" s="7" t="s">
        <v>72</v>
      </c>
      <c r="B23" t="s">
        <v>75</v>
      </c>
      <c r="C23" t="s">
        <v>73</v>
      </c>
      <c r="D23" t="s">
        <v>77</v>
      </c>
    </row>
    <row r="24" spans="1:4" x14ac:dyDescent="0.25">
      <c r="A24" s="8" t="s">
        <v>8</v>
      </c>
      <c r="B24" s="9">
        <v>47984</v>
      </c>
      <c r="C24" s="9">
        <v>53356</v>
      </c>
      <c r="D24" s="9">
        <v>54.85</v>
      </c>
    </row>
    <row r="25" spans="1:4" x14ac:dyDescent="0.25">
      <c r="A25" s="8" t="s">
        <v>22</v>
      </c>
      <c r="B25" s="9">
        <v>85865</v>
      </c>
      <c r="C25" s="9">
        <v>452309.85000000003</v>
      </c>
      <c r="D25" s="9">
        <v>5133.776406</v>
      </c>
    </row>
    <row r="26" spans="1:4" x14ac:dyDescent="0.25">
      <c r="A26" s="8" t="s">
        <v>25</v>
      </c>
      <c r="B26" s="9">
        <v>94800</v>
      </c>
      <c r="C26" s="9">
        <v>313916</v>
      </c>
      <c r="D26" s="9">
        <v>93.15</v>
      </c>
    </row>
    <row r="27" spans="1:4" x14ac:dyDescent="0.25">
      <c r="A27" s="8" t="s">
        <v>27</v>
      </c>
      <c r="B27" s="9">
        <v>50814</v>
      </c>
      <c r="C27" s="9">
        <v>53898</v>
      </c>
      <c r="D27" s="9">
        <v>58.52</v>
      </c>
    </row>
    <row r="28" spans="1:4" x14ac:dyDescent="0.25">
      <c r="A28" s="8" t="s">
        <v>51</v>
      </c>
      <c r="B28" s="9">
        <v>57500</v>
      </c>
      <c r="C28" s="9">
        <v>205000</v>
      </c>
      <c r="D28" s="9">
        <v>56</v>
      </c>
    </row>
    <row r="29" spans="1:4" x14ac:dyDescent="0.25">
      <c r="A29" s="8" t="s">
        <v>74</v>
      </c>
      <c r="B29" s="9">
        <v>336963</v>
      </c>
      <c r="C29" s="9">
        <v>1078479.8500000001</v>
      </c>
      <c r="D29" s="9">
        <v>5396.2964060000004</v>
      </c>
    </row>
    <row r="31" spans="1:4" x14ac:dyDescent="0.25">
      <c r="A31" s="7" t="s">
        <v>72</v>
      </c>
      <c r="B31" t="s">
        <v>78</v>
      </c>
      <c r="C31" t="s">
        <v>77</v>
      </c>
      <c r="D31" t="s">
        <v>76</v>
      </c>
    </row>
    <row r="32" spans="1:4" x14ac:dyDescent="0.25">
      <c r="A32" s="8" t="s">
        <v>14</v>
      </c>
      <c r="B32" s="9">
        <v>3</v>
      </c>
      <c r="C32" s="9">
        <v>14982</v>
      </c>
      <c r="D32" s="9">
        <v>15</v>
      </c>
    </row>
    <row r="33" spans="1:4" x14ac:dyDescent="0.25">
      <c r="A33" s="8" t="s">
        <v>15</v>
      </c>
      <c r="B33" s="9">
        <v>2</v>
      </c>
      <c r="C33" s="9">
        <v>30414</v>
      </c>
      <c r="D33" s="9">
        <v>0.87</v>
      </c>
    </row>
    <row r="34" spans="1:4" x14ac:dyDescent="0.25">
      <c r="A34" s="8" t="s">
        <v>16</v>
      </c>
      <c r="B34" s="9">
        <v>3</v>
      </c>
      <c r="C34" s="9">
        <v>12738.722231</v>
      </c>
      <c r="D34" s="9">
        <v>16406.785392000002</v>
      </c>
    </row>
    <row r="35" spans="1:4" x14ac:dyDescent="0.25">
      <c r="A35" s="8" t="s">
        <v>22</v>
      </c>
      <c r="B35" s="9">
        <v>3</v>
      </c>
      <c r="C35" s="9">
        <v>5133.776406</v>
      </c>
      <c r="D35" s="9">
        <v>26190.48</v>
      </c>
    </row>
    <row r="36" spans="1:4" x14ac:dyDescent="0.25">
      <c r="A36" s="8" t="s">
        <v>28</v>
      </c>
      <c r="B36" s="9">
        <v>3</v>
      </c>
      <c r="C36" s="9">
        <v>240</v>
      </c>
      <c r="D36" s="9">
        <v>19</v>
      </c>
    </row>
    <row r="37" spans="1:4" x14ac:dyDescent="0.25">
      <c r="A37" s="8" t="s">
        <v>32</v>
      </c>
      <c r="B37" s="9">
        <v>3</v>
      </c>
      <c r="C37" s="9">
        <v>5133.776406</v>
      </c>
      <c r="D37" s="9">
        <v>26190.48</v>
      </c>
    </row>
    <row r="38" spans="1:4" x14ac:dyDescent="0.25">
      <c r="A38" s="8" t="s">
        <v>34</v>
      </c>
      <c r="B38" s="9">
        <v>3</v>
      </c>
      <c r="C38" s="9">
        <v>1763.2588020000001</v>
      </c>
      <c r="D38" s="9">
        <v>8853.7100000000009</v>
      </c>
    </row>
    <row r="39" spans="1:4" x14ac:dyDescent="0.25">
      <c r="A39" s="8" t="s">
        <v>39</v>
      </c>
      <c r="B39" s="9">
        <v>3</v>
      </c>
      <c r="C39" s="9">
        <v>135648</v>
      </c>
      <c r="D39" s="9">
        <v>67824</v>
      </c>
    </row>
    <row r="40" spans="1:4" x14ac:dyDescent="0.25">
      <c r="A40" s="8" t="s">
        <v>42</v>
      </c>
      <c r="B40" s="9">
        <v>3</v>
      </c>
      <c r="C40" s="9">
        <v>1751.2588020000001</v>
      </c>
      <c r="D40" s="9">
        <v>8794.2100000000009</v>
      </c>
    </row>
    <row r="41" spans="1:4" x14ac:dyDescent="0.25">
      <c r="A41" s="8" t="s">
        <v>49</v>
      </c>
      <c r="B41" s="9">
        <v>3</v>
      </c>
      <c r="C41" s="9">
        <v>3512.5176040000001</v>
      </c>
      <c r="D41" s="9">
        <v>17580.02</v>
      </c>
    </row>
    <row r="42" spans="1:4" x14ac:dyDescent="0.25">
      <c r="A42" s="8" t="s">
        <v>74</v>
      </c>
      <c r="B42" s="9">
        <v>29</v>
      </c>
      <c r="C42" s="9">
        <v>211317.31025099996</v>
      </c>
      <c r="D42" s="9">
        <v>171874.55539200004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Earning from bus station</vt:lpstr>
      <vt:lpstr>calculation</vt:lpstr>
      <vt:lpstr>pivot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 R</dc:creator>
  <cp:lastModifiedBy>POORNI R</cp:lastModifiedBy>
  <dcterms:created xsi:type="dcterms:W3CDTF">2025-11-28T15:27:30Z</dcterms:created>
  <dcterms:modified xsi:type="dcterms:W3CDTF">2025-11-30T18:37:29Z</dcterms:modified>
</cp:coreProperties>
</file>